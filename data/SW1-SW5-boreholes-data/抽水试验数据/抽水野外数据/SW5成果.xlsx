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drawings/drawing3.xml" ContentType="application/vnd.openxmlformats-officedocument.drawingml.chartshap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580" windowHeight="12360" activeTab="1"/>
  </bookViews>
  <sheets>
    <sheet name="Sheet1" sheetId="1" r:id="rId1"/>
    <sheet name="S-t" sheetId="2" r:id="rId2"/>
    <sheet name="静水位观测" sheetId="3" r:id="rId3"/>
    <sheet name="Sheet2" sheetId="4" r:id="rId4"/>
    <sheet name="Sheet3" sheetId="5" r:id="rId5"/>
  </sheets>
  <calcPr calcId="144525"/>
</workbook>
</file>

<file path=xl/sharedStrings.xml><?xml version="1.0" encoding="utf-8"?>
<sst xmlns="http://schemas.openxmlformats.org/spreadsheetml/2006/main" count="33">
  <si>
    <t>19ZXXSW02-S号钻孔抽水试验数据表</t>
  </si>
  <si>
    <t>观测时间</t>
  </si>
  <si>
    <t>相隔时间</t>
  </si>
  <si>
    <t>累计时间   t</t>
  </si>
  <si>
    <t>井口算起动水位埋深</t>
  </si>
  <si>
    <t>静止水位</t>
  </si>
  <si>
    <t>回次降深(地面算起)</t>
  </si>
  <si>
    <t>累计降深</t>
  </si>
  <si>
    <t>出水量</t>
  </si>
  <si>
    <t>过程</t>
  </si>
  <si>
    <t>涌水量</t>
  </si>
  <si>
    <t>三角堰</t>
  </si>
  <si>
    <t>水表</t>
  </si>
  <si>
    <t>水温</t>
  </si>
  <si>
    <t>气温</t>
  </si>
  <si>
    <t>min</t>
  </si>
  <si>
    <t>m</t>
  </si>
  <si>
    <r>
      <rPr>
        <sz val="10"/>
        <rFont val="宋体"/>
        <charset val="134"/>
      </rPr>
      <t>m</t>
    </r>
    <r>
      <rPr>
        <vertAlign val="superscript"/>
        <sz val="10"/>
        <rFont val="宋体"/>
        <charset val="134"/>
      </rPr>
      <t>3</t>
    </r>
  </si>
  <si>
    <t>l/s</t>
  </si>
  <si>
    <t>m³</t>
  </si>
  <si>
    <t>.</t>
  </si>
  <si>
    <t>第一落程</t>
  </si>
  <si>
    <t>抽水过程</t>
  </si>
  <si>
    <t>L/s</t>
  </si>
  <si>
    <t>L/(s.m)</t>
  </si>
  <si>
    <t>m³/d</t>
  </si>
  <si>
    <t>降深</t>
  </si>
  <si>
    <t>流量</t>
  </si>
  <si>
    <t>单位涌水量</t>
  </si>
  <si>
    <t>第二落程</t>
  </si>
  <si>
    <t>第三落程</t>
  </si>
  <si>
    <t>恢复水位过程</t>
  </si>
  <si>
    <t>h</t>
  </si>
</sst>
</file>

<file path=xl/styles.xml><?xml version="1.0" encoding="utf-8"?>
<styleSheet xmlns="http://schemas.openxmlformats.org/spreadsheetml/2006/main">
  <numFmts count="12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0.00_ "/>
    <numFmt numFmtId="177" formatCode="0.0_);[Red]\(0.0\)"/>
    <numFmt numFmtId="178" formatCode="0.00_);[Red]\(0.00\)"/>
    <numFmt numFmtId="179" formatCode="0.000000000000000000000000000_);[Red]\(0.000000000000000000000000000\)"/>
    <numFmt numFmtId="180" formatCode="0.000_);[Red]\(0.000\)"/>
    <numFmt numFmtId="181" formatCode="0.0_ "/>
    <numFmt numFmtId="182" formatCode="0.000_ "/>
    <numFmt numFmtId="183" formatCode="yyyy\/m\/d\ h:mm"/>
  </numFmts>
  <fonts count="24">
    <font>
      <sz val="12"/>
      <name val="宋体"/>
      <charset val="134"/>
    </font>
    <font>
      <sz val="10"/>
      <name val="宋体"/>
      <charset val="134"/>
    </font>
    <font>
      <sz val="10.5"/>
      <name val="宋体"/>
      <charset val="134"/>
    </font>
    <font>
      <sz val="10"/>
      <name val="黑体"/>
      <charset val="134"/>
    </font>
    <font>
      <sz val="11"/>
      <color indexed="8"/>
      <name val="宋体"/>
      <charset val="134"/>
    </font>
    <font>
      <sz val="11"/>
      <color indexed="52"/>
      <name val="宋体"/>
      <charset val="134"/>
    </font>
    <font>
      <b/>
      <sz val="15"/>
      <color indexed="56"/>
      <name val="宋体"/>
      <charset val="134"/>
    </font>
    <font>
      <sz val="11"/>
      <color indexed="10"/>
      <name val="宋体"/>
      <charset val="134"/>
    </font>
    <font>
      <sz val="11"/>
      <color indexed="9"/>
      <name val="宋体"/>
      <charset val="134"/>
    </font>
    <font>
      <b/>
      <sz val="13"/>
      <color indexed="56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u/>
      <sz val="11"/>
      <color rgb="FF0000FF"/>
      <name val="宋体"/>
      <charset val="134"/>
      <scheme val="minor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56"/>
      <name val="宋体"/>
      <charset val="134"/>
    </font>
    <font>
      <i/>
      <sz val="11"/>
      <color indexed="23"/>
      <name val="宋体"/>
      <charset val="134"/>
    </font>
    <font>
      <u/>
      <sz val="11"/>
      <color rgb="FF800080"/>
      <name val="宋体"/>
      <charset val="134"/>
      <scheme val="minor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b/>
      <sz val="18"/>
      <color indexed="56"/>
      <name val="宋体"/>
      <charset val="134"/>
    </font>
    <font>
      <sz val="11"/>
      <color indexed="60"/>
      <name val="宋体"/>
      <charset val="134"/>
    </font>
    <font>
      <vertAlign val="superscript"/>
      <sz val="10"/>
      <name val="宋体"/>
      <charset val="134"/>
    </font>
  </fonts>
  <fills count="2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8" fillId="1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0" borderId="9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20" fillId="18" borderId="8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</cellStyleXfs>
  <cellXfs count="60">
    <xf numFmtId="0" fontId="0" fillId="0" borderId="0" xfId="0"/>
    <xf numFmtId="179" fontId="0" fillId="0" borderId="0" xfId="0" applyNumberFormat="1"/>
    <xf numFmtId="179" fontId="1" fillId="0" borderId="0" xfId="0" applyNumberFormat="1" applyFont="1" applyBorder="1" applyAlignment="1">
      <alignment vertical="center" wrapText="1"/>
    </xf>
    <xf numFmtId="179" fontId="1" fillId="0" borderId="0" xfId="0" applyNumberFormat="1" applyFont="1" applyBorder="1" applyAlignment="1">
      <alignment horizontal="center"/>
    </xf>
    <xf numFmtId="179" fontId="1" fillId="0" borderId="0" xfId="0" applyNumberFormat="1" applyFont="1" applyAlignment="1">
      <alignment horizontal="center"/>
    </xf>
    <xf numFmtId="179" fontId="1" fillId="2" borderId="0" xfId="0" applyNumberFormat="1" applyFont="1" applyFill="1" applyBorder="1" applyAlignment="1">
      <alignment vertical="center" wrapText="1"/>
    </xf>
    <xf numFmtId="179" fontId="1" fillId="2" borderId="0" xfId="0" applyNumberFormat="1" applyFont="1" applyFill="1" applyBorder="1" applyAlignment="1">
      <alignment horizontal="center"/>
    </xf>
    <xf numFmtId="179" fontId="0" fillId="0" borderId="0" xfId="0" applyNumberFormat="1" applyAlignment="1">
      <alignment horizontal="center"/>
    </xf>
    <xf numFmtId="176" fontId="0" fillId="0" borderId="0" xfId="0" applyNumberFormat="1"/>
    <xf numFmtId="0" fontId="1" fillId="0" borderId="0" xfId="0" applyFont="1" applyAlignment="1">
      <alignment horizontal="center" vertical="center" wrapText="1"/>
    </xf>
    <xf numFmtId="22" fontId="2" fillId="0" borderId="0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76" fontId="1" fillId="0" borderId="0" xfId="0" applyNumberFormat="1" applyFont="1" applyBorder="1" applyAlignment="1">
      <alignment horizontal="center"/>
    </xf>
    <xf numFmtId="178" fontId="1" fillId="0" borderId="0" xfId="0" applyNumberFormat="1" applyFont="1" applyBorder="1" applyAlignment="1">
      <alignment vertical="center" wrapText="1"/>
    </xf>
    <xf numFmtId="180" fontId="1" fillId="0" borderId="0" xfId="0" applyNumberFormat="1" applyFont="1" applyAlignment="1">
      <alignment horizontal="center"/>
    </xf>
    <xf numFmtId="180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80" fontId="0" fillId="0" borderId="0" xfId="0" applyNumberFormat="1" applyAlignment="1">
      <alignment horizontal="center"/>
    </xf>
    <xf numFmtId="177" fontId="1" fillId="0" borderId="0" xfId="0" applyNumberFormat="1" applyFont="1" applyAlignment="1">
      <alignment horizontal="center"/>
    </xf>
    <xf numFmtId="178" fontId="1" fillId="0" borderId="0" xfId="0" applyNumberFormat="1" applyFont="1" applyAlignment="1">
      <alignment horizontal="center"/>
    </xf>
    <xf numFmtId="181" fontId="0" fillId="0" borderId="0" xfId="0" applyNumberFormat="1" applyAlignment="1">
      <alignment horizontal="center"/>
    </xf>
    <xf numFmtId="0" fontId="3" fillId="0" borderId="0" xfId="0" applyFont="1" applyAlignment="1">
      <alignment vertical="center"/>
    </xf>
    <xf numFmtId="180" fontId="3" fillId="0" borderId="0" xfId="0" applyNumberFormat="1" applyFont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80" fontId="1" fillId="2" borderId="0" xfId="0" applyNumberFormat="1" applyFont="1" applyFill="1" applyAlignment="1">
      <alignment horizontal="center" vertical="center" wrapText="1"/>
    </xf>
    <xf numFmtId="180" fontId="1" fillId="0" borderId="0" xfId="0" applyNumberFormat="1" applyFont="1" applyAlignment="1">
      <alignment horizontal="center" vertical="center" wrapText="1"/>
    </xf>
    <xf numFmtId="22" fontId="2" fillId="2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180" fontId="1" fillId="2" borderId="0" xfId="0" applyNumberFormat="1" applyFont="1" applyFill="1" applyBorder="1" applyAlignment="1">
      <alignment horizontal="center"/>
    </xf>
    <xf numFmtId="178" fontId="1" fillId="2" borderId="0" xfId="0" applyNumberFormat="1" applyFont="1" applyFill="1" applyBorder="1" applyAlignment="1">
      <alignment vertical="center" wrapText="1"/>
    </xf>
    <xf numFmtId="180" fontId="1" fillId="2" borderId="0" xfId="0" applyNumberFormat="1" applyFont="1" applyFill="1" applyBorder="1" applyAlignment="1">
      <alignment vertical="center" wrapText="1"/>
    </xf>
    <xf numFmtId="0" fontId="1" fillId="0" borderId="0" xfId="0" applyFont="1" applyBorder="1" applyAlignment="1">
      <alignment horizontal="center"/>
    </xf>
    <xf numFmtId="180" fontId="1" fillId="0" borderId="0" xfId="0" applyNumberFormat="1" applyFont="1" applyBorder="1" applyAlignment="1">
      <alignment horizontal="center"/>
    </xf>
    <xf numFmtId="180" fontId="1" fillId="0" borderId="0" xfId="0" applyNumberFormat="1" applyFont="1" applyBorder="1" applyAlignment="1">
      <alignment vertical="center" wrapText="1"/>
    </xf>
    <xf numFmtId="0" fontId="1" fillId="0" borderId="0" xfId="0" applyNumberFormat="1" applyFont="1" applyAlignment="1">
      <alignment horizontal="center"/>
    </xf>
    <xf numFmtId="180" fontId="1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177" fontId="3" fillId="0" borderId="0" xfId="0" applyNumberFormat="1" applyFont="1" applyAlignment="1">
      <alignment vertical="center"/>
    </xf>
    <xf numFmtId="178" fontId="3" fillId="0" borderId="0" xfId="0" applyNumberFormat="1" applyFont="1" applyAlignment="1">
      <alignment vertical="center"/>
    </xf>
    <xf numFmtId="181" fontId="3" fillId="0" borderId="0" xfId="0" applyNumberFormat="1" applyFont="1" applyAlignment="1">
      <alignment vertical="center"/>
    </xf>
    <xf numFmtId="177" fontId="1" fillId="0" borderId="0" xfId="0" applyNumberFormat="1" applyFont="1" applyAlignment="1">
      <alignment horizontal="center" vertical="center"/>
    </xf>
    <xf numFmtId="178" fontId="1" fillId="2" borderId="0" xfId="0" applyNumberFormat="1" applyFont="1" applyFill="1" applyAlignment="1">
      <alignment horizontal="center" vertical="center" wrapText="1"/>
    </xf>
    <xf numFmtId="181" fontId="1" fillId="0" borderId="0" xfId="0" applyNumberFormat="1" applyFont="1" applyAlignment="1">
      <alignment horizontal="center" vertical="center"/>
    </xf>
    <xf numFmtId="182" fontId="1" fillId="2" borderId="0" xfId="0" applyNumberFormat="1" applyFont="1" applyFill="1" applyBorder="1" applyAlignment="1">
      <alignment horizontal="center"/>
    </xf>
    <xf numFmtId="180" fontId="1" fillId="2" borderId="0" xfId="0" applyNumberFormat="1" applyFont="1" applyFill="1" applyBorder="1" applyAlignment="1">
      <alignment horizontal="center" vertical="center" wrapText="1"/>
    </xf>
    <xf numFmtId="182" fontId="1" fillId="0" borderId="0" xfId="0" applyNumberFormat="1" applyFont="1" applyBorder="1" applyAlignment="1">
      <alignment horizontal="center"/>
    </xf>
    <xf numFmtId="178" fontId="1" fillId="0" borderId="0" xfId="0" applyNumberFormat="1" applyFont="1" applyAlignment="1">
      <alignment horizontal="center" vertical="center" wrapText="1"/>
    </xf>
    <xf numFmtId="181" fontId="1" fillId="0" borderId="0" xfId="0" applyNumberFormat="1" applyFont="1" applyBorder="1" applyAlignment="1">
      <alignment horizontal="center"/>
    </xf>
    <xf numFmtId="177" fontId="1" fillId="2" borderId="0" xfId="0" applyNumberFormat="1" applyFont="1" applyFill="1" applyAlignment="1">
      <alignment horizontal="center"/>
    </xf>
    <xf numFmtId="182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20" fontId="1" fillId="2" borderId="0" xfId="0" applyNumberFormat="1" applyFont="1" applyFill="1" applyAlignment="1">
      <alignment horizontal="center"/>
    </xf>
    <xf numFmtId="20" fontId="1" fillId="0" borderId="0" xfId="0" applyNumberFormat="1" applyFont="1" applyAlignment="1">
      <alignment horizontal="center"/>
    </xf>
    <xf numFmtId="182" fontId="0" fillId="0" borderId="0" xfId="0" applyNumberFormat="1" applyAlignment="1">
      <alignment horizontal="center"/>
    </xf>
    <xf numFmtId="180" fontId="0" fillId="2" borderId="0" xfId="0" applyNumberFormat="1" applyFill="1" applyAlignment="1">
      <alignment horizontal="center"/>
    </xf>
    <xf numFmtId="183" fontId="2" fillId="0" borderId="0" xfId="0" applyNumberFormat="1" applyFont="1" applyBorder="1" applyAlignment="1">
      <alignment horizontal="center" vertical="center"/>
    </xf>
    <xf numFmtId="178" fontId="1" fillId="0" borderId="0" xfId="0" applyNumberFormat="1" applyFont="1" applyAlignment="1">
      <alignment vertical="center" wrapText="1"/>
    </xf>
    <xf numFmtId="176" fontId="0" fillId="0" borderId="0" xfId="0" applyNumberForma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575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SW</a:t>
            </a:r>
            <a:r>
              <a:rPr lang="en-US" altLang="zh-CN"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5</a:t>
            </a:r>
            <a:r>
              <a:rPr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号钻孔抽水试验Q=f(S)关系曲线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66739814231226"/>
          <c:y val="0.0297950098009901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332601536773"/>
          <c:y val="0.25325930600287"/>
          <c:w val="0.825466520307355"/>
          <c:h val="0.642459268904339"/>
        </c:manualLayout>
      </c:layout>
      <c:scatterChart>
        <c:scatterStyle val="smoothMarker"/>
        <c:varyColors val="0"/>
        <c:ser>
          <c:idx val="0"/>
          <c:order val="0"/>
          <c:spPr>
            <a:ln w="12700" cap="rnd" cmpd="sng" algn="ctr">
              <a:solidFill>
                <a:srgbClr val="000080">
                  <a:alpha val="100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000080">
                  <a:alpha val="100000"/>
                </a:srgbClr>
              </a:solidFill>
              <a:ln w="9525" cap="flat" cmpd="sng" algn="ctr">
                <a:solidFill>
                  <a:srgbClr val="000080">
                    <a:alpha val="100000"/>
                  </a:srgb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Sheet1!$S$14:$S$17</c:f>
              <c:numCache>
                <c:formatCode>0.000_);[Red]\(0.000\)</c:formatCode>
                <c:ptCount val="4"/>
                <c:pt idx="0">
                  <c:v>0</c:v>
                </c:pt>
                <c:pt idx="1">
                  <c:v>0.562</c:v>
                </c:pt>
                <c:pt idx="2">
                  <c:v>0.848</c:v>
                </c:pt>
                <c:pt idx="3">
                  <c:v>1.044</c:v>
                </c:pt>
              </c:numCache>
            </c:numRef>
          </c:xVal>
          <c:yVal>
            <c:numRef>
              <c:f>Sheet1!$R$14:$R$17</c:f>
              <c:numCache>
                <c:formatCode>0.000_);[Red]\(0.000\)</c:formatCode>
                <c:ptCount val="4"/>
                <c:pt idx="0">
                  <c:v>0</c:v>
                </c:pt>
                <c:pt idx="1" c:formatCode="General">
                  <c:v>2.32</c:v>
                </c:pt>
                <c:pt idx="2">
                  <c:v>3.92</c:v>
                </c:pt>
                <c:pt idx="3">
                  <c:v>5.62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772363"/>
        <c:axId val="861143868"/>
      </c:scatterChart>
      <c:valAx>
        <c:axId val="192772363"/>
        <c:scaling>
          <c:orientation val="minMax"/>
          <c:max val="1.2"/>
          <c:min val="0"/>
        </c:scaling>
        <c:delete val="0"/>
        <c:axPos val="t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6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Q(l/s)</a:t>
                </a:r>
                <a:endParaRPr sz="1600" b="0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880351297688691"/>
              <c:y val="0.100558822552244"/>
            </c:manualLayout>
          </c:layout>
          <c:overlay val="0"/>
        </c:title>
        <c:numFmt formatCode="0.0_);[Red]\(0.0\)" sourceLinked="0"/>
        <c:majorTickMark val="in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861143868"/>
        <c:crosses val="autoZero"/>
        <c:crossBetween val="midCat"/>
      </c:valAx>
      <c:valAx>
        <c:axId val="861143868"/>
        <c:scaling>
          <c:orientation val="maxMin"/>
          <c:max val="6"/>
        </c:scaling>
        <c:delete val="0"/>
        <c:axPos val="l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6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S(m)</a:t>
                </a:r>
                <a:endParaRPr sz="1600" b="0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60373253794234"/>
              <c:y val="0.908753874120165"/>
            </c:manualLayout>
          </c:layout>
          <c:overlay val="0"/>
        </c:title>
        <c:numFmt formatCode="0.0_);[Red]\(0.0\)" sourceLinked="0"/>
        <c:majorTickMark val="in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927723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solidFill>
        <a:srgbClr val="000000">
          <a:alpha val="100000"/>
        </a:srgbClr>
      </a:solidFill>
      <a:prstDash val="solid"/>
      <a:round/>
    </a:ln>
  </c:spPr>
  <c:txPr>
    <a:bodyPr rot="0" wrap="square" anchor="ctr" anchorCtr="1"/>
    <a:lstStyle/>
    <a:p>
      <a:pPr>
        <a:defRPr lang="zh-CN" sz="1575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525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SW</a:t>
            </a:r>
            <a:r>
              <a:rPr lang="en-US" altLang="zh-CN"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5</a:t>
            </a:r>
            <a:r>
              <a:rPr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号钻孔抽水试验q=f(S)关系曲线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64673543714012"/>
          <c:y val="0.0299065420560748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353404616345"/>
          <c:y val="0.254205839484009"/>
          <c:w val="0.82170631500285"/>
          <c:h val="0.648598722801112"/>
        </c:manualLayout>
      </c:layout>
      <c:scatterChart>
        <c:scatterStyle val="smoothMarker"/>
        <c:varyColors val="0"/>
        <c:ser>
          <c:idx val="0"/>
          <c:order val="0"/>
          <c:spPr>
            <a:ln w="12700" cap="rnd" cmpd="sng" algn="ctr">
              <a:solidFill>
                <a:srgbClr val="000080">
                  <a:alpha val="100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000080">
                  <a:alpha val="100000"/>
                </a:srgbClr>
              </a:solidFill>
              <a:ln w="9525" cap="flat" cmpd="sng" algn="ctr">
                <a:solidFill>
                  <a:srgbClr val="000080">
                    <a:alpha val="100000"/>
                  </a:srgb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Sheet1!$T$15:$T$17</c:f>
              <c:numCache>
                <c:formatCode>0.000_);[Red]\(0.000\)</c:formatCode>
                <c:ptCount val="3"/>
                <c:pt idx="0">
                  <c:v>0.242241379310345</c:v>
                </c:pt>
                <c:pt idx="1">
                  <c:v>0.216326530612245</c:v>
                </c:pt>
                <c:pt idx="2">
                  <c:v>0.18576512455516</c:v>
                </c:pt>
              </c:numCache>
            </c:numRef>
          </c:xVal>
          <c:yVal>
            <c:numRef>
              <c:f>Sheet1!$R$15:$R$17</c:f>
              <c:numCache>
                <c:formatCode>General</c:formatCode>
                <c:ptCount val="3"/>
                <c:pt idx="0">
                  <c:v>2.32</c:v>
                </c:pt>
                <c:pt idx="1" c:formatCode="0.000_);[Red]\(0.000\)">
                  <c:v>3.92</c:v>
                </c:pt>
                <c:pt idx="2" c:formatCode="0.000_);[Red]\(0.000\)">
                  <c:v>5.62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501380"/>
        <c:axId val="65947955"/>
      </c:scatterChart>
      <c:valAx>
        <c:axId val="383501380"/>
        <c:scaling>
          <c:orientation val="minMax"/>
          <c:max val="0.25"/>
          <c:min val="0.15"/>
        </c:scaling>
        <c:delete val="0"/>
        <c:axPos val="t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6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q(l/s·m)</a:t>
                </a:r>
                <a:endParaRPr sz="1600" b="0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848284429562584"/>
              <c:y val="0.0934579439252336"/>
            </c:manualLayout>
          </c:layout>
          <c:overlay val="0"/>
        </c:title>
        <c:numFmt formatCode="#,##0.000_);[Red]\(#,##0.000\)" sourceLinked="0"/>
        <c:majorTickMark val="in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5947955"/>
        <c:crosses val="autoZero"/>
        <c:crossBetween val="midCat"/>
      </c:valAx>
      <c:valAx>
        <c:axId val="65947955"/>
        <c:scaling>
          <c:orientation val="maxMin"/>
          <c:max val="6"/>
          <c:min val="0"/>
        </c:scaling>
        <c:delete val="0"/>
        <c:axPos val="l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6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S(m)</a:t>
                </a:r>
                <a:endParaRPr sz="1600" b="0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564785215801513"/>
              <c:y val="0.912150317658891"/>
            </c:manualLayout>
          </c:layout>
          <c:overlay val="0"/>
        </c:title>
        <c:numFmt formatCode="0.0_);[Red]\(0.0\)" sourceLinked="0"/>
        <c:majorTickMark val="in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3501380"/>
        <c:crosses val="autoZero"/>
        <c:crossBetween val="midCat"/>
        <c:minorUnit val="3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solidFill>
        <a:srgbClr val="000000">
          <a:alpha val="100000"/>
        </a:srgbClr>
      </a:solidFill>
      <a:prstDash val="solid"/>
      <a:round/>
    </a:ln>
  </c:spPr>
  <c:txPr>
    <a:bodyPr rot="0" wrap="square" anchor="ctr" anchorCtr="1"/>
    <a:lstStyle/>
    <a:p>
      <a:pPr>
        <a:defRPr lang="zh-CN" sz="1525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6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SW</a:t>
            </a:r>
            <a:r>
              <a:rPr lang="en-US" altLang="zh-CN"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5</a:t>
            </a:r>
            <a:r>
              <a:rPr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号钻孔抽水试验S-t过程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307692399464053"/>
          <c:y val="0.029629668384475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0139907149695"/>
          <c:y val="0.225913621262458"/>
          <c:w val="0.853147217286529"/>
          <c:h val="0.664451827242525"/>
        </c:manualLayout>
      </c:layout>
      <c:scatterChart>
        <c:scatterStyle val="smoothMarker"/>
        <c:varyColors val="0"/>
        <c:ser>
          <c:idx val="0"/>
          <c:order val="0"/>
          <c:spPr>
            <a:ln w="12700" cap="rnd" cmpd="sng" algn="ctr">
              <a:solidFill>
                <a:srgbClr val="000080">
                  <a:alpha val="100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rgbClr val="000080">
                  <a:alpha val="100000"/>
                </a:srgbClr>
              </a:solidFill>
              <a:ln w="9525" cap="flat" cmpd="sng" algn="ctr">
                <a:solidFill>
                  <a:srgbClr val="000080">
                    <a:alpha val="100000"/>
                  </a:srgb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Sheet1!$C$4:$C$126</c:f>
              <c:numCache>
                <c:formatCode>General</c:formatCode>
                <c:ptCount val="1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8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90</c:v>
                </c:pt>
                <c:pt idx="16">
                  <c:v>120</c:v>
                </c:pt>
                <c:pt idx="17">
                  <c:v>150</c:v>
                </c:pt>
                <c:pt idx="18">
                  <c:v>180</c:v>
                </c:pt>
                <c:pt idx="19">
                  <c:v>210</c:v>
                </c:pt>
                <c:pt idx="20">
                  <c:v>240</c:v>
                </c:pt>
                <c:pt idx="21">
                  <c:v>270</c:v>
                </c:pt>
                <c:pt idx="22">
                  <c:v>300</c:v>
                </c:pt>
                <c:pt idx="23">
                  <c:v>330</c:v>
                </c:pt>
                <c:pt idx="24">
                  <c:v>360</c:v>
                </c:pt>
                <c:pt idx="25">
                  <c:v>390</c:v>
                </c:pt>
                <c:pt idx="26">
                  <c:v>420</c:v>
                </c:pt>
                <c:pt idx="27">
                  <c:v>450</c:v>
                </c:pt>
                <c:pt idx="28">
                  <c:v>480</c:v>
                </c:pt>
                <c:pt idx="29">
                  <c:v>510</c:v>
                </c:pt>
                <c:pt idx="30">
                  <c:v>540</c:v>
                </c:pt>
                <c:pt idx="31">
                  <c:v>540</c:v>
                </c:pt>
                <c:pt idx="32">
                  <c:v>541</c:v>
                </c:pt>
                <c:pt idx="33">
                  <c:v>542</c:v>
                </c:pt>
                <c:pt idx="34">
                  <c:v>543</c:v>
                </c:pt>
                <c:pt idx="35">
                  <c:v>544</c:v>
                </c:pt>
                <c:pt idx="36">
                  <c:v>546</c:v>
                </c:pt>
                <c:pt idx="37">
                  <c:v>548</c:v>
                </c:pt>
                <c:pt idx="38">
                  <c:v>550</c:v>
                </c:pt>
                <c:pt idx="39">
                  <c:v>555</c:v>
                </c:pt>
                <c:pt idx="40">
                  <c:v>560</c:v>
                </c:pt>
                <c:pt idx="41">
                  <c:v>565</c:v>
                </c:pt>
                <c:pt idx="42">
                  <c:v>570</c:v>
                </c:pt>
                <c:pt idx="43">
                  <c:v>580</c:v>
                </c:pt>
                <c:pt idx="44">
                  <c:v>590</c:v>
                </c:pt>
                <c:pt idx="45">
                  <c:v>600</c:v>
                </c:pt>
                <c:pt idx="46">
                  <c:v>630</c:v>
                </c:pt>
                <c:pt idx="47">
                  <c:v>660</c:v>
                </c:pt>
                <c:pt idx="48">
                  <c:v>690</c:v>
                </c:pt>
                <c:pt idx="49">
                  <c:v>720</c:v>
                </c:pt>
                <c:pt idx="50">
                  <c:v>750</c:v>
                </c:pt>
                <c:pt idx="51">
                  <c:v>780</c:v>
                </c:pt>
                <c:pt idx="52">
                  <c:v>810</c:v>
                </c:pt>
                <c:pt idx="53">
                  <c:v>840</c:v>
                </c:pt>
                <c:pt idx="54">
                  <c:v>870</c:v>
                </c:pt>
                <c:pt idx="55">
                  <c:v>900</c:v>
                </c:pt>
                <c:pt idx="56">
                  <c:v>930</c:v>
                </c:pt>
                <c:pt idx="57">
                  <c:v>960</c:v>
                </c:pt>
                <c:pt idx="58">
                  <c:v>990</c:v>
                </c:pt>
                <c:pt idx="59">
                  <c:v>1020</c:v>
                </c:pt>
                <c:pt idx="60">
                  <c:v>1050</c:v>
                </c:pt>
                <c:pt idx="61">
                  <c:v>1080</c:v>
                </c:pt>
                <c:pt idx="62">
                  <c:v>1110</c:v>
                </c:pt>
                <c:pt idx="63">
                  <c:v>1140</c:v>
                </c:pt>
                <c:pt idx="64">
                  <c:v>1140</c:v>
                </c:pt>
                <c:pt idx="65">
                  <c:v>1141</c:v>
                </c:pt>
                <c:pt idx="66">
                  <c:v>1142</c:v>
                </c:pt>
                <c:pt idx="67">
                  <c:v>1143</c:v>
                </c:pt>
                <c:pt idx="68">
                  <c:v>1144</c:v>
                </c:pt>
                <c:pt idx="69">
                  <c:v>1146</c:v>
                </c:pt>
                <c:pt idx="70">
                  <c:v>1148</c:v>
                </c:pt>
                <c:pt idx="71">
                  <c:v>1150</c:v>
                </c:pt>
                <c:pt idx="72">
                  <c:v>1155</c:v>
                </c:pt>
                <c:pt idx="73">
                  <c:v>1160</c:v>
                </c:pt>
                <c:pt idx="74">
                  <c:v>1165</c:v>
                </c:pt>
                <c:pt idx="75">
                  <c:v>1170</c:v>
                </c:pt>
                <c:pt idx="76">
                  <c:v>1180</c:v>
                </c:pt>
                <c:pt idx="77">
                  <c:v>1190</c:v>
                </c:pt>
                <c:pt idx="78">
                  <c:v>1200</c:v>
                </c:pt>
                <c:pt idx="79">
                  <c:v>1230</c:v>
                </c:pt>
                <c:pt idx="80">
                  <c:v>1260</c:v>
                </c:pt>
                <c:pt idx="81">
                  <c:v>1290</c:v>
                </c:pt>
                <c:pt idx="82">
                  <c:v>1320</c:v>
                </c:pt>
                <c:pt idx="83">
                  <c:v>1350</c:v>
                </c:pt>
                <c:pt idx="84">
                  <c:v>1380</c:v>
                </c:pt>
                <c:pt idx="85">
                  <c:v>1410</c:v>
                </c:pt>
                <c:pt idx="86">
                  <c:v>1440</c:v>
                </c:pt>
                <c:pt idx="87">
                  <c:v>1470</c:v>
                </c:pt>
                <c:pt idx="88">
                  <c:v>1500</c:v>
                </c:pt>
                <c:pt idx="89">
                  <c:v>1530</c:v>
                </c:pt>
                <c:pt idx="90">
                  <c:v>1560</c:v>
                </c:pt>
                <c:pt idx="91">
                  <c:v>1590</c:v>
                </c:pt>
                <c:pt idx="92">
                  <c:v>1620</c:v>
                </c:pt>
                <c:pt idx="93">
                  <c:v>1650</c:v>
                </c:pt>
                <c:pt idx="94">
                  <c:v>1680</c:v>
                </c:pt>
                <c:pt idx="95">
                  <c:v>1680</c:v>
                </c:pt>
                <c:pt idx="96">
                  <c:v>1681</c:v>
                </c:pt>
                <c:pt idx="97">
                  <c:v>1682</c:v>
                </c:pt>
                <c:pt idx="98">
                  <c:v>1683</c:v>
                </c:pt>
                <c:pt idx="99">
                  <c:v>1684</c:v>
                </c:pt>
                <c:pt idx="100">
                  <c:v>1686</c:v>
                </c:pt>
                <c:pt idx="101">
                  <c:v>1688</c:v>
                </c:pt>
                <c:pt idx="102">
                  <c:v>1690</c:v>
                </c:pt>
                <c:pt idx="103">
                  <c:v>1695</c:v>
                </c:pt>
                <c:pt idx="104">
                  <c:v>1700</c:v>
                </c:pt>
                <c:pt idx="105">
                  <c:v>1705</c:v>
                </c:pt>
                <c:pt idx="106">
                  <c:v>1710</c:v>
                </c:pt>
                <c:pt idx="107">
                  <c:v>1720</c:v>
                </c:pt>
                <c:pt idx="108">
                  <c:v>1730</c:v>
                </c:pt>
                <c:pt idx="109">
                  <c:v>1740</c:v>
                </c:pt>
                <c:pt idx="110">
                  <c:v>1760</c:v>
                </c:pt>
                <c:pt idx="111">
                  <c:v>1780</c:v>
                </c:pt>
                <c:pt idx="112">
                  <c:v>1800</c:v>
                </c:pt>
                <c:pt idx="113">
                  <c:v>1830</c:v>
                </c:pt>
                <c:pt idx="114">
                  <c:v>1860</c:v>
                </c:pt>
                <c:pt idx="115">
                  <c:v>1890</c:v>
                </c:pt>
                <c:pt idx="116">
                  <c:v>1920</c:v>
                </c:pt>
                <c:pt idx="117">
                  <c:v>1950</c:v>
                </c:pt>
                <c:pt idx="118">
                  <c:v>1980</c:v>
                </c:pt>
                <c:pt idx="119">
                  <c:v>2010</c:v>
                </c:pt>
                <c:pt idx="120">
                  <c:v>2040</c:v>
                </c:pt>
                <c:pt idx="121">
                  <c:v>2070</c:v>
                </c:pt>
                <c:pt idx="122">
                  <c:v>2100</c:v>
                </c:pt>
              </c:numCache>
            </c:numRef>
          </c:xVal>
          <c:yVal>
            <c:numRef>
              <c:f>Sheet1!$J$4:$J$126</c:f>
              <c:numCache>
                <c:formatCode>0.000_);[Red]\(0.000\)</c:formatCode>
                <c:ptCount val="123"/>
                <c:pt idx="0">
                  <c:v>0</c:v>
                </c:pt>
                <c:pt idx="1">
                  <c:v>0.51</c:v>
                </c:pt>
                <c:pt idx="2">
                  <c:v>0.91</c:v>
                </c:pt>
                <c:pt idx="3">
                  <c:v>1.19</c:v>
                </c:pt>
                <c:pt idx="4">
                  <c:v>1.41</c:v>
                </c:pt>
                <c:pt idx="5">
                  <c:v>1.59</c:v>
                </c:pt>
                <c:pt idx="6">
                  <c:v>1.74</c:v>
                </c:pt>
                <c:pt idx="7">
                  <c:v>1.84</c:v>
                </c:pt>
                <c:pt idx="8">
                  <c:v>1.97</c:v>
                </c:pt>
                <c:pt idx="9">
                  <c:v>2.06</c:v>
                </c:pt>
                <c:pt idx="10">
                  <c:v>2.11</c:v>
                </c:pt>
                <c:pt idx="11">
                  <c:v>2.14</c:v>
                </c:pt>
                <c:pt idx="12">
                  <c:v>2.18</c:v>
                </c:pt>
                <c:pt idx="13">
                  <c:v>2.2</c:v>
                </c:pt>
                <c:pt idx="14">
                  <c:v>2.23</c:v>
                </c:pt>
                <c:pt idx="15">
                  <c:v>2.25</c:v>
                </c:pt>
                <c:pt idx="16">
                  <c:v>2.27</c:v>
                </c:pt>
                <c:pt idx="17">
                  <c:v>2.28</c:v>
                </c:pt>
                <c:pt idx="18">
                  <c:v>2.3</c:v>
                </c:pt>
                <c:pt idx="19">
                  <c:v>2.31</c:v>
                </c:pt>
                <c:pt idx="20">
                  <c:v>2.32</c:v>
                </c:pt>
                <c:pt idx="21">
                  <c:v>2.32</c:v>
                </c:pt>
                <c:pt idx="22">
                  <c:v>2.32</c:v>
                </c:pt>
                <c:pt idx="23">
                  <c:v>2.32</c:v>
                </c:pt>
                <c:pt idx="24">
                  <c:v>2.32</c:v>
                </c:pt>
                <c:pt idx="25">
                  <c:v>2.32</c:v>
                </c:pt>
                <c:pt idx="26">
                  <c:v>2.32</c:v>
                </c:pt>
                <c:pt idx="27">
                  <c:v>2.32</c:v>
                </c:pt>
                <c:pt idx="28">
                  <c:v>2.32</c:v>
                </c:pt>
                <c:pt idx="29">
                  <c:v>2.32</c:v>
                </c:pt>
                <c:pt idx="30">
                  <c:v>2.32</c:v>
                </c:pt>
                <c:pt idx="31">
                  <c:v>2.32</c:v>
                </c:pt>
                <c:pt idx="32">
                  <c:v>2.67</c:v>
                </c:pt>
                <c:pt idx="33">
                  <c:v>2.95</c:v>
                </c:pt>
                <c:pt idx="34">
                  <c:v>3.14</c:v>
                </c:pt>
                <c:pt idx="35">
                  <c:v>3.29</c:v>
                </c:pt>
                <c:pt idx="36">
                  <c:v>3.41</c:v>
                </c:pt>
                <c:pt idx="37">
                  <c:v>3.51</c:v>
                </c:pt>
                <c:pt idx="38">
                  <c:v>3.58</c:v>
                </c:pt>
                <c:pt idx="39">
                  <c:v>3.67</c:v>
                </c:pt>
                <c:pt idx="40">
                  <c:v>3.73</c:v>
                </c:pt>
                <c:pt idx="41">
                  <c:v>3.76</c:v>
                </c:pt>
                <c:pt idx="42">
                  <c:v>3.78</c:v>
                </c:pt>
                <c:pt idx="43">
                  <c:v>3.81</c:v>
                </c:pt>
                <c:pt idx="44">
                  <c:v>3.82</c:v>
                </c:pt>
                <c:pt idx="45">
                  <c:v>3.84</c:v>
                </c:pt>
                <c:pt idx="46">
                  <c:v>3.85</c:v>
                </c:pt>
                <c:pt idx="47">
                  <c:v>3.87</c:v>
                </c:pt>
                <c:pt idx="48">
                  <c:v>3.88</c:v>
                </c:pt>
                <c:pt idx="49">
                  <c:v>3.9</c:v>
                </c:pt>
                <c:pt idx="50">
                  <c:v>3.91</c:v>
                </c:pt>
                <c:pt idx="51">
                  <c:v>3.92</c:v>
                </c:pt>
                <c:pt idx="52">
                  <c:v>3.92</c:v>
                </c:pt>
                <c:pt idx="53">
                  <c:v>3.92</c:v>
                </c:pt>
                <c:pt idx="54">
                  <c:v>3.92</c:v>
                </c:pt>
                <c:pt idx="55">
                  <c:v>3.92</c:v>
                </c:pt>
                <c:pt idx="56">
                  <c:v>3.92</c:v>
                </c:pt>
                <c:pt idx="57">
                  <c:v>3.92</c:v>
                </c:pt>
                <c:pt idx="58">
                  <c:v>3.92</c:v>
                </c:pt>
                <c:pt idx="59">
                  <c:v>3.92</c:v>
                </c:pt>
                <c:pt idx="60">
                  <c:v>3.92</c:v>
                </c:pt>
                <c:pt idx="61">
                  <c:v>3.92</c:v>
                </c:pt>
                <c:pt idx="62">
                  <c:v>3.92</c:v>
                </c:pt>
                <c:pt idx="63">
                  <c:v>3.92</c:v>
                </c:pt>
                <c:pt idx="64">
                  <c:v>3.9</c:v>
                </c:pt>
                <c:pt idx="65">
                  <c:v>4.27</c:v>
                </c:pt>
                <c:pt idx="66">
                  <c:v>4.56</c:v>
                </c:pt>
                <c:pt idx="67">
                  <c:v>4.77</c:v>
                </c:pt>
                <c:pt idx="68">
                  <c:v>4.93</c:v>
                </c:pt>
                <c:pt idx="69">
                  <c:v>5.06</c:v>
                </c:pt>
                <c:pt idx="70">
                  <c:v>5.17</c:v>
                </c:pt>
                <c:pt idx="71">
                  <c:v>5.27</c:v>
                </c:pt>
                <c:pt idx="72">
                  <c:v>5.37</c:v>
                </c:pt>
                <c:pt idx="73">
                  <c:v>5.44</c:v>
                </c:pt>
                <c:pt idx="74">
                  <c:v>5.48</c:v>
                </c:pt>
                <c:pt idx="75">
                  <c:v>5.5</c:v>
                </c:pt>
                <c:pt idx="76">
                  <c:v>5.53</c:v>
                </c:pt>
                <c:pt idx="77">
                  <c:v>5.54</c:v>
                </c:pt>
                <c:pt idx="78">
                  <c:v>5.56</c:v>
                </c:pt>
                <c:pt idx="79">
                  <c:v>5.57</c:v>
                </c:pt>
                <c:pt idx="80">
                  <c:v>5.58</c:v>
                </c:pt>
                <c:pt idx="81">
                  <c:v>5.59</c:v>
                </c:pt>
                <c:pt idx="82">
                  <c:v>5.6</c:v>
                </c:pt>
                <c:pt idx="83">
                  <c:v>5.61</c:v>
                </c:pt>
                <c:pt idx="84">
                  <c:v>5.62</c:v>
                </c:pt>
                <c:pt idx="85">
                  <c:v>5.62</c:v>
                </c:pt>
                <c:pt idx="86">
                  <c:v>5.62</c:v>
                </c:pt>
                <c:pt idx="87">
                  <c:v>5.62</c:v>
                </c:pt>
                <c:pt idx="88">
                  <c:v>5.62</c:v>
                </c:pt>
                <c:pt idx="89">
                  <c:v>5.62</c:v>
                </c:pt>
                <c:pt idx="90">
                  <c:v>5.62</c:v>
                </c:pt>
                <c:pt idx="91">
                  <c:v>5.62</c:v>
                </c:pt>
                <c:pt idx="92">
                  <c:v>5.62</c:v>
                </c:pt>
                <c:pt idx="93">
                  <c:v>5.62</c:v>
                </c:pt>
                <c:pt idx="94">
                  <c:v>5.62</c:v>
                </c:pt>
                <c:pt idx="95">
                  <c:v>5.62</c:v>
                </c:pt>
                <c:pt idx="96" c:formatCode="General">
                  <c:v>4.38</c:v>
                </c:pt>
                <c:pt idx="97" c:formatCode="General">
                  <c:v>3.42</c:v>
                </c:pt>
                <c:pt idx="98" c:formatCode="General">
                  <c:v>2.73</c:v>
                </c:pt>
                <c:pt idx="99" c:formatCode="General">
                  <c:v>2.21</c:v>
                </c:pt>
                <c:pt idx="100" c:formatCode="General">
                  <c:v>1.73</c:v>
                </c:pt>
                <c:pt idx="101" c:formatCode="General">
                  <c:v>1.38</c:v>
                </c:pt>
                <c:pt idx="102" c:formatCode="General">
                  <c:v>1.14</c:v>
                </c:pt>
                <c:pt idx="103" c:formatCode="General">
                  <c:v>0.82</c:v>
                </c:pt>
                <c:pt idx="104" c:formatCode="General">
                  <c:v>0.6</c:v>
                </c:pt>
                <c:pt idx="105" c:formatCode="General">
                  <c:v>0.47</c:v>
                </c:pt>
                <c:pt idx="106" c:formatCode="General">
                  <c:v>0.4</c:v>
                </c:pt>
                <c:pt idx="107" c:formatCode="General">
                  <c:v>0.31</c:v>
                </c:pt>
                <c:pt idx="108" c:formatCode="General">
                  <c:v>0.25</c:v>
                </c:pt>
                <c:pt idx="109" c:formatCode="General">
                  <c:v>0.21</c:v>
                </c:pt>
                <c:pt idx="110" c:formatCode="General">
                  <c:v>0.17</c:v>
                </c:pt>
                <c:pt idx="111" c:formatCode="General">
                  <c:v>0.13</c:v>
                </c:pt>
                <c:pt idx="112" c:formatCode="General">
                  <c:v>0.11</c:v>
                </c:pt>
                <c:pt idx="113" c:formatCode="General">
                  <c:v>0.0699999999999998</c:v>
                </c:pt>
                <c:pt idx="114" c:formatCode="General">
                  <c:v>0.0499999999999998</c:v>
                </c:pt>
                <c:pt idx="115" c:formatCode="General">
                  <c:v>0.0299999999999998</c:v>
                </c:pt>
                <c:pt idx="116" c:formatCode="General">
                  <c:v>0.0299999999999998</c:v>
                </c:pt>
                <c:pt idx="117" c:formatCode="General">
                  <c:v>0.0199999999999998</c:v>
                </c:pt>
                <c:pt idx="118" c:formatCode="0.00_ ">
                  <c:v>0.00999999999999981</c:v>
                </c:pt>
                <c:pt idx="119" c:formatCode="General">
                  <c:v>0</c:v>
                </c:pt>
                <c:pt idx="120" c:formatCode="General">
                  <c:v>0</c:v>
                </c:pt>
                <c:pt idx="121" c:formatCode="General">
                  <c:v>0</c:v>
                </c:pt>
                <c:pt idx="122" c:formatCode="General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316154"/>
        <c:axId val="208846617"/>
      </c:scatterChart>
      <c:valAx>
        <c:axId val="115316154"/>
        <c:scaling>
          <c:orientation val="minMax"/>
          <c:max val="2500"/>
          <c:min val="0"/>
        </c:scaling>
        <c:delete val="0"/>
        <c:axPos val="t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6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t(min)</a:t>
                </a:r>
                <a:endParaRPr sz="1600" b="0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887912559881064"/>
              <c:y val="0.0888890051534256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208846617"/>
        <c:crosses val="autoZero"/>
        <c:crossBetween val="midCat"/>
        <c:majorUnit val="1000"/>
      </c:valAx>
      <c:valAx>
        <c:axId val="208846617"/>
        <c:scaling>
          <c:orientation val="maxMin"/>
          <c:max val="6"/>
          <c:min val="0"/>
        </c:scaling>
        <c:delete val="0"/>
        <c:axPos val="l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6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S(m)</a:t>
                </a:r>
                <a:endParaRPr sz="1600" b="0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604395866600591"/>
              <c:y val="0.911112738814625"/>
            </c:manualLayout>
          </c:layout>
          <c:overlay val="0"/>
        </c:title>
        <c:numFmt formatCode="0.0_);[Red]\(0.0\)" sourceLinked="0"/>
        <c:majorTickMark val="in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1531615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solidFill>
        <a:srgbClr val="000000">
          <a:alpha val="100000"/>
        </a:srgbClr>
      </a:solidFill>
      <a:prstDash val="solid"/>
      <a:round/>
    </a:ln>
  </c:spPr>
  <c:txPr>
    <a:bodyPr rot="0" wrap="square" anchor="ctr" anchorCtr="1"/>
    <a:lstStyle/>
    <a:p>
      <a:pPr>
        <a:defRPr lang="zh-CN" sz="16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171450</xdr:colOff>
      <xdr:row>0</xdr:row>
      <xdr:rowOff>180975</xdr:rowOff>
    </xdr:from>
    <xdr:to>
      <xdr:col>12</xdr:col>
      <xdr:colOff>390525</xdr:colOff>
      <xdr:row>30</xdr:row>
      <xdr:rowOff>19050</xdr:rowOff>
    </xdr:to>
    <xdr:graphicFrame>
      <xdr:nvGraphicFramePr>
        <xdr:cNvPr id="11745" name="Chart 123"/>
        <xdr:cNvGraphicFramePr/>
      </xdr:nvGraphicFramePr>
      <xdr:xfrm>
        <a:off x="171450" y="180975"/>
        <a:ext cx="8448675" cy="5267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276225</xdr:colOff>
      <xdr:row>32</xdr:row>
      <xdr:rowOff>38100</xdr:rowOff>
    </xdr:from>
    <xdr:to>
      <xdr:col>12</xdr:col>
      <xdr:colOff>647700</xdr:colOff>
      <xdr:row>60</xdr:row>
      <xdr:rowOff>66675</xdr:rowOff>
    </xdr:to>
    <xdr:graphicFrame>
      <xdr:nvGraphicFramePr>
        <xdr:cNvPr id="11746" name="Chart 124"/>
        <xdr:cNvGraphicFramePr/>
      </xdr:nvGraphicFramePr>
      <xdr:xfrm>
        <a:off x="276225" y="5829300"/>
        <a:ext cx="8601075" cy="5095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152400</xdr:colOff>
      <xdr:row>63</xdr:row>
      <xdr:rowOff>38100</xdr:rowOff>
    </xdr:from>
    <xdr:to>
      <xdr:col>16</xdr:col>
      <xdr:colOff>76200</xdr:colOff>
      <xdr:row>94</xdr:row>
      <xdr:rowOff>161925</xdr:rowOff>
    </xdr:to>
    <xdr:graphicFrame>
      <xdr:nvGraphicFramePr>
        <xdr:cNvPr id="11747" name="Chart 125"/>
        <xdr:cNvGraphicFramePr/>
      </xdr:nvGraphicFramePr>
      <xdr:xfrm>
        <a:off x="152400" y="11439525"/>
        <a:ext cx="10896600" cy="5734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0.609671262683202</cdr:x>
      <cdr:y>0.694876130198914</cdr:y>
    </cdr:from>
    <cdr:to>
      <cdr:x>0.714051262683202</cdr:x>
      <cdr:y>0.833266130198915</cdr:y>
    </cdr:to>
    <cdr:sp>
      <cdr:nvSpPr>
        <cdr:cNvPr id="2" name="矩形 1"/>
        <cdr:cNvSpPr/>
      </cdr:nvSpPr>
      <cdr:spPr xmlns:a="http://schemas.openxmlformats.org/drawingml/2006/main">
        <a:xfrm xmlns:a="http://schemas.openxmlformats.org/drawingml/2006/main">
          <a:off x="5150914" y="3660138"/>
          <a:ext cx="881873" cy="728945"/>
        </a:xfrm>
        <a:prstGeom xmlns:a="http://schemas.openxmlformats.org/drawingml/2006/main" prst="rect">
          <a:avLst/>
        </a:prstGeom>
        <a:noFill/>
        <a:ln w="9525">
          <a:noFill/>
          <a:miter lim="800000"/>
        </a:ln>
      </cdr:spPr>
      <cdr:txBody xmlns:a="http://schemas.openxmlformats.org/drawingml/2006/main">
        <a:bodyPr vertOverflow="clip" wrap="square" lIns="36576" tIns="27432" rIns="0" bIns="0" anchor="t" upright="1"/>
        <a:lstStyle/>
        <a:p>
          <a:pPr algn="l"/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S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2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3.92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/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Q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2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0.848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cdr:txBody>
    </cdr:sp>
  </cdr:relSizeAnchor>
  <cdr:relSizeAnchor xmlns:cdr="http://schemas.openxmlformats.org/drawingml/2006/chartDrawing">
    <cdr:from>
      <cdr:x>0.867968602029313</cdr:x>
      <cdr:y>0.697887594936709</cdr:y>
    </cdr:from>
    <cdr:to>
      <cdr:x>0.977238602029313</cdr:x>
      <cdr:y>0.807937594936709</cdr:y>
    </cdr:to>
    <cdr:sp>
      <cdr:nvSpPr>
        <cdr:cNvPr id="3" name="矩形 2"/>
        <cdr:cNvSpPr/>
      </cdr:nvSpPr>
      <cdr:spPr xmlns:a="http://schemas.openxmlformats.org/drawingml/2006/main">
        <a:xfrm xmlns:a="http://schemas.openxmlformats.org/drawingml/2006/main">
          <a:off x="7333185" y="3676001"/>
          <a:ext cx="923187" cy="579669"/>
        </a:xfrm>
        <a:prstGeom xmlns:a="http://schemas.openxmlformats.org/drawingml/2006/main" prst="rect">
          <a:avLst/>
        </a:prstGeom>
        <a:noFill/>
        <a:ln w="9525">
          <a:noFill/>
        </a:ln>
      </cdr:spPr>
      <cdr:txBody xmlns:a="http://schemas.openxmlformats.org/drawingml/2006/main">
        <a:bodyPr vertOverflow="clip" vert="horz" wrap="square" lIns="36576" tIns="27432" rIns="0" bIns="0" anchor="t" anchorCtr="0" upright="1"/>
        <a:lstStyle/>
        <a:p>
          <a:pPr algn="l" rtl="0"/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S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3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5.62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Q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3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1.044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cdr:txBody>
    </cdr:sp>
  </cdr:relSizeAnchor>
  <cdr:relSizeAnchor xmlns:cdr="http://schemas.openxmlformats.org/drawingml/2006/chartDrawing">
    <cdr:from>
      <cdr:x>0.379682536640361</cdr:x>
      <cdr:y>0.459794755877034</cdr:y>
    </cdr:from>
    <cdr:to>
      <cdr:x>0.484062536640361</cdr:x>
      <cdr:y>0.598184755877034</cdr:y>
    </cdr:to>
    <cdr:sp>
      <cdr:nvSpPr>
        <cdr:cNvPr id="4" name="矩形 3"/>
        <cdr:cNvSpPr/>
      </cdr:nvSpPr>
      <cdr:spPr xmlns:a="http://schemas.openxmlformats.org/drawingml/2006/main">
        <a:xfrm xmlns:a="http://schemas.openxmlformats.org/drawingml/2006/main">
          <a:off x="3207814" y="2421888"/>
          <a:ext cx="881873" cy="728945"/>
        </a:xfrm>
        <a:prstGeom xmlns:a="http://schemas.openxmlformats.org/drawingml/2006/main" prst="rect">
          <a:avLst/>
        </a:prstGeom>
        <a:noFill/>
        <a:ln w="9525">
          <a:noFill/>
          <a:miter lim="800000"/>
        </a:ln>
      </cdr:spPr>
      <cdr:txBody xmlns:a="http://schemas.openxmlformats.org/drawingml/2006/main">
        <a:bodyPr vertOverflow="clip" wrap="square" lIns="36576" tIns="27432" rIns="0" bIns="0" anchor="t" upright="1"/>
        <a:lstStyle/>
        <a:p>
          <a:pPr algn="l"/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S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1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2.32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/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Q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1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0.562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0.603543743078627</cdr:x>
      <cdr:y>0.53607476635514</cdr:y>
    </cdr:from>
    <cdr:to>
      <cdr:x>0.718936877076412</cdr:x>
      <cdr:y>0.639376947040498</cdr:y>
    </cdr:to>
    <cdr:sp>
      <cdr:nvSpPr>
        <cdr:cNvPr id="2" name="矩形 1"/>
        <cdr:cNvSpPr/>
      </cdr:nvSpPr>
      <cdr:spPr xmlns:a="http://schemas.openxmlformats.org/drawingml/2006/main">
        <a:xfrm xmlns:a="http://schemas.openxmlformats.org/drawingml/2006/main">
          <a:off x="5191125" y="2731770"/>
          <a:ext cx="992505" cy="526415"/>
        </a:xfrm>
        <a:prstGeom xmlns:a="http://schemas.openxmlformats.org/drawingml/2006/main" prst="rect">
          <a:avLst/>
        </a:prstGeom>
        <a:noFill/>
        <a:ln w="9525">
          <a:noFill/>
          <a:miter lim="800000"/>
        </a:ln>
      </cdr:spPr>
      <cdr:txBody xmlns:a="http://schemas.openxmlformats.org/drawingml/2006/main">
        <a:bodyPr vertOverflow="clip" wrap="square" lIns="36576" tIns="27432" rIns="0" bIns="0" anchor="t" upright="1"/>
        <a:lstStyle/>
        <a:p>
          <a:pPr algn="l">
            <a:lnSpc>
              <a:spcPts val="1700"/>
            </a:lnSpc>
          </a:pP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S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2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2.32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>
            <a:lnSpc>
              <a:spcPts val="1700"/>
            </a:lnSpc>
          </a:pP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q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2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=0.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216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>
            <a:lnSpc>
              <a:spcPts val="1700"/>
            </a:lnSpc>
          </a:pP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cdr:txBody>
    </cdr:sp>
  </cdr:relSizeAnchor>
  <cdr:relSizeAnchor xmlns:cdr="http://schemas.openxmlformats.org/drawingml/2006/chartDrawing">
    <cdr:from>
      <cdr:x>0.379549649317092</cdr:x>
      <cdr:y>0.715389408099689</cdr:y>
    </cdr:from>
    <cdr:to>
      <cdr:x>0.476485788113695</cdr:x>
      <cdr:y>0.842990654205607</cdr:y>
    </cdr:to>
    <cdr:sp>
      <cdr:nvSpPr>
        <cdr:cNvPr id="3" name="矩形 2"/>
        <cdr:cNvSpPr/>
      </cdr:nvSpPr>
      <cdr:spPr xmlns:a="http://schemas.openxmlformats.org/drawingml/2006/main">
        <a:xfrm xmlns:a="http://schemas.openxmlformats.org/drawingml/2006/main">
          <a:off x="3264535" y="3645535"/>
          <a:ext cx="833755" cy="650240"/>
        </a:xfrm>
        <a:prstGeom xmlns:a="http://schemas.openxmlformats.org/drawingml/2006/main" prst="rect">
          <a:avLst/>
        </a:prstGeom>
        <a:noFill/>
        <a:ln w="9525">
          <a:noFill/>
          <a:miter lim="800000"/>
        </a:ln>
      </cdr:spPr>
      <cdr:txBody xmlns:a="http://schemas.openxmlformats.org/drawingml/2006/main">
        <a:bodyPr vertOverflow="clip" wrap="square" lIns="36576" tIns="27432" rIns="0" bIns="0" anchor="t" upright="1"/>
        <a:lstStyle/>
        <a:p>
          <a:pPr algn="l"/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S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3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5.62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/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q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3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=0.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186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cdr:txBody>
    </cdr:sp>
  </cdr:relSizeAnchor>
  <cdr:relSizeAnchor xmlns:cdr="http://schemas.openxmlformats.org/drawingml/2006/chartDrawing">
    <cdr:from>
      <cdr:x>0.813953488372093</cdr:x>
      <cdr:y>0.388411214953271</cdr:y>
    </cdr:from>
    <cdr:to>
      <cdr:x>0.932668881506091</cdr:x>
      <cdr:y>0.491713395638629</cdr:y>
    </cdr:to>
    <cdr:sp>
      <cdr:nvSpPr>
        <cdr:cNvPr id="4" name="矩形 3"/>
        <cdr:cNvSpPr/>
      </cdr:nvSpPr>
      <cdr:spPr xmlns:a="http://schemas.openxmlformats.org/drawingml/2006/main">
        <a:xfrm xmlns:a="http://schemas.openxmlformats.org/drawingml/2006/main">
          <a:off x="7000875" y="1979295"/>
          <a:ext cx="1021080" cy="526415"/>
        </a:xfrm>
        <a:prstGeom xmlns:a="http://schemas.openxmlformats.org/drawingml/2006/main" prst="rect">
          <a:avLst/>
        </a:prstGeom>
        <a:noFill/>
        <a:ln w="9525">
          <a:noFill/>
          <a:miter lim="800000"/>
        </a:ln>
      </cdr:spPr>
      <cdr:txBody xmlns:a="http://schemas.openxmlformats.org/drawingml/2006/main">
        <a:bodyPr vertOverflow="clip" wrap="square" lIns="36576" tIns="27432" rIns="0" bIns="0" anchor="t" upright="1"/>
        <a:lstStyle/>
        <a:p>
          <a:pPr algn="l">
            <a:lnSpc>
              <a:spcPts val="1700"/>
            </a:lnSpc>
          </a:pP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S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1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3.92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>
            <a:lnSpc>
              <a:spcPts val="1700"/>
            </a:lnSpc>
          </a:pP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q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1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=0.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242</a:t>
          </a:r>
          <a:endParaRPr lang="zh-CN" altLang="en-US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36"/>
  <sheetViews>
    <sheetView topLeftCell="K1" workbookViewId="0">
      <pane ySplit="3" topLeftCell="A4" activePane="bottomLeft" state="frozen"/>
      <selection/>
      <selection pane="bottomLeft" activeCell="P10" sqref="P10"/>
    </sheetView>
  </sheetViews>
  <sheetFormatPr defaultColWidth="9" defaultRowHeight="14.25"/>
  <cols>
    <col min="1" max="1" width="19" style="18" customWidth="1"/>
    <col min="2" max="2" width="9" style="18"/>
    <col min="3" max="3" width="12.375" style="18" customWidth="1"/>
    <col min="4" max="4" width="4.875" style="18" customWidth="1"/>
    <col min="5" max="5" width="9.75" style="19" customWidth="1"/>
    <col min="6" max="6" width="6.75" style="18" customWidth="1"/>
    <col min="7" max="7" width="9.375" style="18" customWidth="1"/>
    <col min="8" max="8" width="9.625" style="18" customWidth="1"/>
    <col min="9" max="9" width="4.75" style="18" customWidth="1"/>
    <col min="10" max="10" width="22.625" style="19"/>
    <col min="11" max="11" width="9" style="18"/>
    <col min="12" max="12" width="10.5" style="18" customWidth="1"/>
    <col min="13" max="13" width="10.375" style="19"/>
    <col min="14" max="14" width="9" style="20"/>
    <col min="15" max="15" width="9" style="21"/>
    <col min="16" max="16" width="12.5" style="22" customWidth="1"/>
    <col min="17" max="17" width="8.875" style="18" customWidth="1"/>
    <col min="18" max="18" width="9.375" style="14"/>
    <col min="19" max="19" width="13" style="14" customWidth="1"/>
    <col min="20" max="20" width="9.25" style="14"/>
    <col min="21" max="21" width="9" style="18"/>
    <col min="22" max="24" width="12.625" style="18"/>
    <col min="25" max="16384" width="9" style="18"/>
  </cols>
  <sheetData>
    <row r="1" ht="18.75" customHeight="1" spans="1:19">
      <c r="A1" s="23" t="s">
        <v>0</v>
      </c>
      <c r="B1" s="23"/>
      <c r="C1" s="23"/>
      <c r="D1" s="23"/>
      <c r="E1" s="24"/>
      <c r="F1" s="23"/>
      <c r="G1" s="23"/>
      <c r="H1" s="23"/>
      <c r="I1" s="23"/>
      <c r="J1" s="38"/>
      <c r="K1" s="23"/>
      <c r="L1" s="23"/>
      <c r="M1" s="23"/>
      <c r="N1" s="39"/>
      <c r="O1" s="40"/>
      <c r="P1" s="41"/>
      <c r="Q1" s="23"/>
      <c r="R1" s="24"/>
      <c r="S1" s="24"/>
    </row>
    <row r="2" ht="24" customHeight="1" spans="1:19">
      <c r="A2" s="9" t="s">
        <v>1</v>
      </c>
      <c r="B2" s="9" t="s">
        <v>2</v>
      </c>
      <c r="C2" s="25" t="s">
        <v>3</v>
      </c>
      <c r="D2" s="9"/>
      <c r="E2" s="26" t="s">
        <v>4</v>
      </c>
      <c r="F2" s="9" t="s">
        <v>5</v>
      </c>
      <c r="G2" s="9"/>
      <c r="H2" s="26" t="s">
        <v>6</v>
      </c>
      <c r="I2" s="27"/>
      <c r="J2" s="26" t="s">
        <v>7</v>
      </c>
      <c r="K2" s="9" t="s">
        <v>8</v>
      </c>
      <c r="L2" s="9" t="s">
        <v>9</v>
      </c>
      <c r="M2" s="27" t="s">
        <v>10</v>
      </c>
      <c r="N2" s="42" t="s">
        <v>11</v>
      </c>
      <c r="O2" s="43" t="s">
        <v>12</v>
      </c>
      <c r="P2" s="44" t="s">
        <v>13</v>
      </c>
      <c r="Q2" s="51" t="s">
        <v>14</v>
      </c>
      <c r="R2" s="52"/>
      <c r="S2" s="52"/>
    </row>
    <row r="3" spans="1:19">
      <c r="A3" s="9"/>
      <c r="B3" s="9" t="s">
        <v>15</v>
      </c>
      <c r="C3" s="9" t="s">
        <v>15</v>
      </c>
      <c r="D3" s="9"/>
      <c r="E3" s="27" t="s">
        <v>16</v>
      </c>
      <c r="F3" s="9" t="s">
        <v>16</v>
      </c>
      <c r="G3" s="9"/>
      <c r="H3" s="27" t="s">
        <v>16</v>
      </c>
      <c r="I3" s="27"/>
      <c r="J3" s="27" t="s">
        <v>16</v>
      </c>
      <c r="K3" s="9" t="s">
        <v>17</v>
      </c>
      <c r="L3" s="9"/>
      <c r="M3" s="27" t="s">
        <v>18</v>
      </c>
      <c r="N3" s="42"/>
      <c r="O3" s="43" t="s">
        <v>19</v>
      </c>
      <c r="P3" s="44"/>
      <c r="Q3" s="51"/>
      <c r="R3" s="52"/>
      <c r="S3" s="52"/>
    </row>
    <row r="4" s="16" customFormat="1" ht="12.75" spans="1:21">
      <c r="A4" s="28">
        <v>44768.5</v>
      </c>
      <c r="B4" s="16">
        <v>0</v>
      </c>
      <c r="C4" s="16">
        <v>0</v>
      </c>
      <c r="D4" s="29"/>
      <c r="E4" s="30">
        <v>0.56</v>
      </c>
      <c r="F4" s="31">
        <v>0.56</v>
      </c>
      <c r="G4" s="32">
        <v>0</v>
      </c>
      <c r="H4" s="31">
        <v>0</v>
      </c>
      <c r="I4" s="31"/>
      <c r="J4" s="30">
        <v>0</v>
      </c>
      <c r="K4" s="45" t="s">
        <v>20</v>
      </c>
      <c r="L4" s="29" t="s">
        <v>21</v>
      </c>
      <c r="M4" s="30">
        <v>0</v>
      </c>
      <c r="N4" s="46"/>
      <c r="O4" s="43">
        <v>220</v>
      </c>
      <c r="R4" s="37"/>
      <c r="S4" s="37"/>
      <c r="T4" s="37"/>
      <c r="U4" s="53"/>
    </row>
    <row r="5" s="11" customFormat="1" spans="1:21">
      <c r="A5" s="10">
        <v>44768.5006944445</v>
      </c>
      <c r="B5" s="11">
        <v>1</v>
      </c>
      <c r="C5" s="11">
        <v>1</v>
      </c>
      <c r="D5" s="33">
        <v>1</v>
      </c>
      <c r="E5" s="34">
        <f>0.56+J5</f>
        <v>1.07</v>
      </c>
      <c r="F5" s="13"/>
      <c r="G5" s="35"/>
      <c r="H5">
        <v>0.51</v>
      </c>
      <c r="I5" s="33">
        <v>1</v>
      </c>
      <c r="J5" s="14">
        <f t="shared" ref="J5:J40" si="0">J4+H5</f>
        <v>0.51</v>
      </c>
      <c r="K5" s="47"/>
      <c r="L5" s="33"/>
      <c r="M5" s="14">
        <v>0.562</v>
      </c>
      <c r="N5" s="27"/>
      <c r="O5" s="48">
        <f>M5*B5*60/1000+O4</f>
        <v>220.03372</v>
      </c>
      <c r="R5" s="14"/>
      <c r="S5" s="14"/>
      <c r="T5" s="14"/>
      <c r="U5" s="54"/>
    </row>
    <row r="6" s="11" customFormat="1" spans="1:21">
      <c r="A6" s="10">
        <v>44768.5013888889</v>
      </c>
      <c r="B6" s="11">
        <v>1</v>
      </c>
      <c r="C6" s="11">
        <v>2</v>
      </c>
      <c r="D6" s="33">
        <v>2</v>
      </c>
      <c r="E6" s="34">
        <f t="shared" ref="E6:E13" si="1">0.56+J6</f>
        <v>1.47</v>
      </c>
      <c r="F6" s="13"/>
      <c r="G6" s="35"/>
      <c r="H6">
        <v>0.4</v>
      </c>
      <c r="I6" s="33">
        <v>2</v>
      </c>
      <c r="J6" s="14">
        <f t="shared" si="0"/>
        <v>0.91</v>
      </c>
      <c r="K6" s="47"/>
      <c r="L6" s="33"/>
      <c r="M6" s="14">
        <v>0.562</v>
      </c>
      <c r="N6" s="27"/>
      <c r="O6" s="48">
        <f t="shared" ref="O6:O36" si="2">M6*B6*60/1000+O5</f>
        <v>220.06744</v>
      </c>
      <c r="R6" s="14"/>
      <c r="S6" s="14"/>
      <c r="T6" s="14"/>
      <c r="U6" s="54"/>
    </row>
    <row r="7" s="11" customFormat="1" spans="1:21">
      <c r="A7" s="10">
        <v>44768.5020833334</v>
      </c>
      <c r="B7" s="11">
        <v>1</v>
      </c>
      <c r="C7" s="11">
        <v>3</v>
      </c>
      <c r="D7" s="33">
        <v>3</v>
      </c>
      <c r="E7" s="34">
        <f t="shared" si="1"/>
        <v>1.75</v>
      </c>
      <c r="F7" s="13"/>
      <c r="G7" s="35"/>
      <c r="H7">
        <v>0.28</v>
      </c>
      <c r="I7" s="33">
        <v>3</v>
      </c>
      <c r="J7" s="14">
        <f t="shared" si="0"/>
        <v>1.19</v>
      </c>
      <c r="K7" s="47"/>
      <c r="L7" s="33"/>
      <c r="M7" s="14">
        <v>0.562</v>
      </c>
      <c r="N7" s="27"/>
      <c r="O7" s="48">
        <f t="shared" si="2"/>
        <v>220.10116</v>
      </c>
      <c r="R7" s="14"/>
      <c r="S7" s="14"/>
      <c r="T7" s="14"/>
      <c r="U7" s="54"/>
    </row>
    <row r="8" s="11" customFormat="1" spans="1:21">
      <c r="A8" s="10">
        <v>44768.5027777778</v>
      </c>
      <c r="B8" s="11">
        <v>1</v>
      </c>
      <c r="C8" s="11">
        <v>4</v>
      </c>
      <c r="D8" s="33">
        <v>4</v>
      </c>
      <c r="E8" s="34">
        <f t="shared" si="1"/>
        <v>1.97</v>
      </c>
      <c r="F8" s="13"/>
      <c r="G8" s="35"/>
      <c r="H8">
        <v>0.22</v>
      </c>
      <c r="I8" s="33">
        <v>4</v>
      </c>
      <c r="J8" s="14">
        <f t="shared" si="0"/>
        <v>1.41</v>
      </c>
      <c r="K8" s="47"/>
      <c r="L8" s="33"/>
      <c r="M8" s="14">
        <v>0.562</v>
      </c>
      <c r="N8" s="27"/>
      <c r="O8" s="48">
        <f t="shared" si="2"/>
        <v>220.13488</v>
      </c>
      <c r="R8" s="14"/>
      <c r="S8" s="14"/>
      <c r="T8" s="14"/>
      <c r="U8" s="54"/>
    </row>
    <row r="9" s="11" customFormat="1" spans="1:21">
      <c r="A9" s="10">
        <v>44768.5041666667</v>
      </c>
      <c r="B9" s="11">
        <v>2</v>
      </c>
      <c r="C9" s="11">
        <v>6</v>
      </c>
      <c r="D9" s="33">
        <v>5</v>
      </c>
      <c r="E9" s="34">
        <f t="shared" si="1"/>
        <v>2.15</v>
      </c>
      <c r="F9" s="13"/>
      <c r="G9" s="35"/>
      <c r="H9">
        <v>0.18</v>
      </c>
      <c r="I9" s="33">
        <v>5</v>
      </c>
      <c r="J9" s="14">
        <f t="shared" si="0"/>
        <v>1.59</v>
      </c>
      <c r="K9" s="47"/>
      <c r="L9" s="33"/>
      <c r="M9" s="14">
        <v>0.562</v>
      </c>
      <c r="N9" s="27"/>
      <c r="O9" s="48">
        <f t="shared" si="2"/>
        <v>220.20232</v>
      </c>
      <c r="R9" s="14"/>
      <c r="S9" s="14"/>
      <c r="T9" s="14"/>
      <c r="U9" s="54"/>
    </row>
    <row r="10" s="11" customFormat="1" spans="1:21">
      <c r="A10" s="10">
        <v>44768.5055555556</v>
      </c>
      <c r="B10" s="11">
        <v>2</v>
      </c>
      <c r="C10" s="11">
        <v>8</v>
      </c>
      <c r="D10" s="33">
        <v>6</v>
      </c>
      <c r="E10" s="34">
        <f t="shared" si="1"/>
        <v>2.3</v>
      </c>
      <c r="F10" s="13"/>
      <c r="G10" s="35"/>
      <c r="H10">
        <v>0.15</v>
      </c>
      <c r="I10" s="33">
        <v>6</v>
      </c>
      <c r="J10" s="14">
        <f t="shared" si="0"/>
        <v>1.74</v>
      </c>
      <c r="K10" s="47"/>
      <c r="L10" s="33"/>
      <c r="M10" s="14">
        <v>0.562</v>
      </c>
      <c r="N10" s="27"/>
      <c r="O10" s="48">
        <f t="shared" si="2"/>
        <v>220.26976</v>
      </c>
      <c r="R10" s="14"/>
      <c r="S10" s="14"/>
      <c r="T10" s="14"/>
      <c r="U10" s="54"/>
    </row>
    <row r="11" s="11" customFormat="1" spans="1:21">
      <c r="A11" s="10">
        <v>44768.5069444445</v>
      </c>
      <c r="B11" s="11">
        <v>2</v>
      </c>
      <c r="C11" s="11">
        <v>10</v>
      </c>
      <c r="D11" s="33">
        <v>7</v>
      </c>
      <c r="E11" s="34">
        <f t="shared" si="1"/>
        <v>2.4</v>
      </c>
      <c r="F11" s="13"/>
      <c r="G11" s="35"/>
      <c r="H11">
        <v>0.1</v>
      </c>
      <c r="I11" s="33">
        <v>7</v>
      </c>
      <c r="J11" s="14">
        <f t="shared" si="0"/>
        <v>1.84</v>
      </c>
      <c r="K11" s="47"/>
      <c r="L11" s="33"/>
      <c r="M11" s="14">
        <v>0.562</v>
      </c>
      <c r="N11" s="27"/>
      <c r="O11" s="48">
        <f t="shared" si="2"/>
        <v>220.3372</v>
      </c>
      <c r="R11" s="14"/>
      <c r="S11" s="14"/>
      <c r="T11" s="14"/>
      <c r="U11" s="54"/>
    </row>
    <row r="12" spans="1:21">
      <c r="A12" s="10">
        <v>44768.5104166667</v>
      </c>
      <c r="B12" s="36">
        <v>5</v>
      </c>
      <c r="C12" s="11">
        <f t="shared" ref="C12:C40" si="3">B12+C11</f>
        <v>15</v>
      </c>
      <c r="D12" s="33">
        <v>8</v>
      </c>
      <c r="E12" s="34">
        <f t="shared" si="1"/>
        <v>2.53</v>
      </c>
      <c r="F12" s="13" t="e">
        <f>#REF!+J12</f>
        <v>#REF!</v>
      </c>
      <c r="G12" s="13" t="e">
        <f>#REF!+F12</f>
        <v>#REF!</v>
      </c>
      <c r="H12">
        <v>0.13</v>
      </c>
      <c r="I12" s="33">
        <v>8</v>
      </c>
      <c r="J12" s="14">
        <f t="shared" si="0"/>
        <v>1.97</v>
      </c>
      <c r="K12" s="34">
        <f t="shared" ref="K12:K15" si="4">M12*86.4</f>
        <v>48.5568</v>
      </c>
      <c r="L12" s="33" t="s">
        <v>22</v>
      </c>
      <c r="M12" s="14">
        <v>0.562</v>
      </c>
      <c r="N12" s="14">
        <v>4.1</v>
      </c>
      <c r="O12" s="48">
        <f t="shared" si="2"/>
        <v>220.5058</v>
      </c>
      <c r="P12" s="49"/>
      <c r="Q12" s="11"/>
      <c r="R12" s="18"/>
      <c r="S12" s="18" t="s">
        <v>23</v>
      </c>
      <c r="T12" s="18" t="s">
        <v>24</v>
      </c>
      <c r="U12" s="18" t="s">
        <v>25</v>
      </c>
    </row>
    <row r="13" spans="1:21">
      <c r="A13" s="10">
        <v>44768.5138888889</v>
      </c>
      <c r="B13" s="11">
        <v>5</v>
      </c>
      <c r="C13" s="11">
        <f t="shared" si="3"/>
        <v>20</v>
      </c>
      <c r="D13" s="33">
        <v>9</v>
      </c>
      <c r="E13" s="34">
        <f t="shared" si="1"/>
        <v>2.62</v>
      </c>
      <c r="F13" s="13" t="e">
        <f t="shared" ref="F13:F15" si="5">F12+J13</f>
        <v>#REF!</v>
      </c>
      <c r="G13" s="13" t="e">
        <f t="shared" ref="G13:G15" si="6">G12+F13</f>
        <v>#REF!</v>
      </c>
      <c r="H13">
        <v>0.09</v>
      </c>
      <c r="I13" s="33">
        <v>9</v>
      </c>
      <c r="J13" s="14">
        <f t="shared" si="0"/>
        <v>2.06</v>
      </c>
      <c r="K13" s="34">
        <f t="shared" si="4"/>
        <v>48.5568</v>
      </c>
      <c r="L13" s="33" t="s">
        <v>22</v>
      </c>
      <c r="M13" s="14">
        <v>0.562</v>
      </c>
      <c r="N13" s="14">
        <v>4.1</v>
      </c>
      <c r="O13" s="48">
        <f t="shared" si="2"/>
        <v>220.6744</v>
      </c>
      <c r="P13" s="49"/>
      <c r="Q13" s="11"/>
      <c r="R13" s="14" t="s">
        <v>26</v>
      </c>
      <c r="S13" s="14" t="s">
        <v>27</v>
      </c>
      <c r="T13" s="14" t="s">
        <v>28</v>
      </c>
      <c r="U13" s="18" t="s">
        <v>27</v>
      </c>
    </row>
    <row r="14" spans="1:21">
      <c r="A14" s="10">
        <v>44768.5173611111</v>
      </c>
      <c r="B14" s="36">
        <v>5</v>
      </c>
      <c r="C14" s="11">
        <f t="shared" si="3"/>
        <v>25</v>
      </c>
      <c r="D14" s="33">
        <v>10</v>
      </c>
      <c r="E14" s="34">
        <f t="shared" ref="E14:E45" si="7">0.56+J14</f>
        <v>2.67</v>
      </c>
      <c r="F14" s="13" t="e">
        <f t="shared" si="5"/>
        <v>#REF!</v>
      </c>
      <c r="G14" s="13" t="e">
        <f t="shared" si="6"/>
        <v>#REF!</v>
      </c>
      <c r="H14">
        <v>0.05</v>
      </c>
      <c r="I14" s="33">
        <v>10</v>
      </c>
      <c r="J14" s="14">
        <f t="shared" si="0"/>
        <v>2.11</v>
      </c>
      <c r="K14" s="34">
        <f t="shared" si="4"/>
        <v>48.5568</v>
      </c>
      <c r="L14" s="33" t="s">
        <v>22</v>
      </c>
      <c r="M14" s="14">
        <v>0.562</v>
      </c>
      <c r="N14" s="14">
        <v>4.1</v>
      </c>
      <c r="O14" s="48">
        <f t="shared" si="2"/>
        <v>220.843</v>
      </c>
      <c r="P14" s="49"/>
      <c r="Q14" s="11"/>
      <c r="R14" s="14">
        <v>0</v>
      </c>
      <c r="S14" s="14">
        <v>0</v>
      </c>
      <c r="T14" s="14">
        <v>0</v>
      </c>
      <c r="U14" s="18">
        <f>3.6*2.4*S14</f>
        <v>0</v>
      </c>
    </row>
    <row r="15" spans="1:21">
      <c r="A15" s="10">
        <v>44768.5208333334</v>
      </c>
      <c r="B15" s="11">
        <v>5</v>
      </c>
      <c r="C15" s="11">
        <f t="shared" si="3"/>
        <v>30</v>
      </c>
      <c r="D15" s="33">
        <v>11</v>
      </c>
      <c r="E15" s="34">
        <f t="shared" si="7"/>
        <v>2.7</v>
      </c>
      <c r="F15" s="13" t="e">
        <f t="shared" si="5"/>
        <v>#REF!</v>
      </c>
      <c r="G15" s="13" t="e">
        <f t="shared" si="6"/>
        <v>#REF!</v>
      </c>
      <c r="H15">
        <v>0.03</v>
      </c>
      <c r="I15" s="33">
        <v>11</v>
      </c>
      <c r="J15" s="14">
        <f t="shared" si="0"/>
        <v>2.14</v>
      </c>
      <c r="K15" s="34">
        <f t="shared" si="4"/>
        <v>48.5568</v>
      </c>
      <c r="L15" s="33" t="s">
        <v>22</v>
      </c>
      <c r="M15" s="14">
        <v>0.562</v>
      </c>
      <c r="N15" s="14">
        <v>4.1</v>
      </c>
      <c r="O15" s="48">
        <f t="shared" si="2"/>
        <v>221.0116</v>
      </c>
      <c r="P15" s="49"/>
      <c r="Q15" s="11"/>
      <c r="R15" s="18">
        <v>2.32</v>
      </c>
      <c r="S15" s="14">
        <v>0.562</v>
      </c>
      <c r="T15" s="14">
        <f>S15/R15</f>
        <v>0.242241379310345</v>
      </c>
      <c r="U15" s="18">
        <f>36*2.4*S15</f>
        <v>48.5568</v>
      </c>
    </row>
    <row r="16" spans="1:21">
      <c r="A16" s="10">
        <v>44768.5277777778</v>
      </c>
      <c r="B16" s="11">
        <v>10</v>
      </c>
      <c r="C16" s="11">
        <f t="shared" si="3"/>
        <v>40</v>
      </c>
      <c r="D16" s="33">
        <v>12</v>
      </c>
      <c r="E16" s="34">
        <f t="shared" si="7"/>
        <v>2.74</v>
      </c>
      <c r="F16" s="13"/>
      <c r="G16" s="13"/>
      <c r="H16">
        <v>0.04</v>
      </c>
      <c r="I16" s="33">
        <v>12</v>
      </c>
      <c r="J16" s="14">
        <f t="shared" si="0"/>
        <v>2.18</v>
      </c>
      <c r="K16" s="34"/>
      <c r="L16" s="33"/>
      <c r="M16" s="14">
        <v>0.562</v>
      </c>
      <c r="N16" s="14"/>
      <c r="O16" s="48">
        <f t="shared" si="2"/>
        <v>221.3488</v>
      </c>
      <c r="P16" s="49"/>
      <c r="Q16" s="11"/>
      <c r="R16" s="14">
        <v>3.92</v>
      </c>
      <c r="S16" s="14">
        <v>0.848</v>
      </c>
      <c r="T16" s="14">
        <f>S16/R16</f>
        <v>0.216326530612245</v>
      </c>
      <c r="U16" s="18">
        <f>36*2.4*S16</f>
        <v>73.2672</v>
      </c>
    </row>
    <row r="17" spans="1:21">
      <c r="A17" s="10">
        <v>44768.5347222223</v>
      </c>
      <c r="B17" s="11">
        <v>10</v>
      </c>
      <c r="C17" s="11">
        <f t="shared" si="3"/>
        <v>50</v>
      </c>
      <c r="D17" s="33">
        <v>13</v>
      </c>
      <c r="E17" s="34">
        <f t="shared" si="7"/>
        <v>2.76</v>
      </c>
      <c r="F17" s="13"/>
      <c r="G17" s="13"/>
      <c r="H17">
        <v>0.02</v>
      </c>
      <c r="I17" s="33">
        <v>13</v>
      </c>
      <c r="J17" s="14">
        <f t="shared" si="0"/>
        <v>2.2</v>
      </c>
      <c r="K17" s="34"/>
      <c r="L17" s="33"/>
      <c r="M17" s="14">
        <v>0.562</v>
      </c>
      <c r="N17" s="14"/>
      <c r="O17" s="48">
        <f t="shared" si="2"/>
        <v>221.686</v>
      </c>
      <c r="P17" s="49"/>
      <c r="Q17" s="11"/>
      <c r="R17" s="14">
        <v>5.62</v>
      </c>
      <c r="S17" s="14">
        <v>1.044</v>
      </c>
      <c r="T17" s="14">
        <f>S17/R17</f>
        <v>0.18576512455516</v>
      </c>
      <c r="U17" s="18">
        <f>36*2.4*S17</f>
        <v>90.2016</v>
      </c>
    </row>
    <row r="18" spans="1:19">
      <c r="A18" s="10">
        <v>44768.5416666667</v>
      </c>
      <c r="B18" s="36">
        <v>10</v>
      </c>
      <c r="C18" s="11">
        <f t="shared" si="3"/>
        <v>60</v>
      </c>
      <c r="D18" s="33">
        <v>14</v>
      </c>
      <c r="E18" s="34">
        <f t="shared" si="7"/>
        <v>2.79</v>
      </c>
      <c r="F18" s="13" t="e">
        <f>F15+J18</f>
        <v>#REF!</v>
      </c>
      <c r="G18" s="13" t="e">
        <f>G15+F18</f>
        <v>#REF!</v>
      </c>
      <c r="H18">
        <v>0.03</v>
      </c>
      <c r="I18" s="33">
        <v>14</v>
      </c>
      <c r="J18" s="14">
        <f t="shared" si="0"/>
        <v>2.23</v>
      </c>
      <c r="K18" s="34">
        <f t="shared" ref="K18:K40" si="8">M18*86.4</f>
        <v>48.5568</v>
      </c>
      <c r="L18" s="33" t="s">
        <v>22</v>
      </c>
      <c r="M18" s="14">
        <v>0.562</v>
      </c>
      <c r="N18" s="14">
        <v>4.1</v>
      </c>
      <c r="O18" s="48">
        <f t="shared" si="2"/>
        <v>222.0232</v>
      </c>
      <c r="P18" s="49"/>
      <c r="Q18" s="11"/>
      <c r="R18" s="34"/>
      <c r="S18" s="34"/>
    </row>
    <row r="19" ht="15" customHeight="1" spans="1:18">
      <c r="A19" s="10">
        <v>44768.5625</v>
      </c>
      <c r="B19" s="11">
        <v>30</v>
      </c>
      <c r="C19" s="11">
        <f t="shared" si="3"/>
        <v>90</v>
      </c>
      <c r="D19" s="33">
        <v>15</v>
      </c>
      <c r="E19" s="34">
        <f t="shared" si="7"/>
        <v>2.81</v>
      </c>
      <c r="F19" s="13" t="e">
        <f t="shared" ref="F19:F26" si="9">F18+J19</f>
        <v>#REF!</v>
      </c>
      <c r="G19" s="13" t="e">
        <f t="shared" ref="G19:G40" si="10">G18+F19</f>
        <v>#REF!</v>
      </c>
      <c r="H19">
        <v>0.02</v>
      </c>
      <c r="I19" s="33">
        <v>15</v>
      </c>
      <c r="J19" s="14">
        <f t="shared" si="0"/>
        <v>2.25</v>
      </c>
      <c r="K19" s="34">
        <f t="shared" si="8"/>
        <v>48.5568</v>
      </c>
      <c r="L19" s="33" t="s">
        <v>22</v>
      </c>
      <c r="M19" s="14">
        <v>0.562</v>
      </c>
      <c r="N19" s="14">
        <v>4.1</v>
      </c>
      <c r="O19" s="48">
        <f t="shared" si="2"/>
        <v>223.0348</v>
      </c>
      <c r="P19" s="49"/>
      <c r="R19" s="18"/>
    </row>
    <row r="20" spans="1:18">
      <c r="A20" s="10">
        <v>44768.5833333334</v>
      </c>
      <c r="B20" s="36">
        <v>30</v>
      </c>
      <c r="C20" s="11">
        <f t="shared" si="3"/>
        <v>120</v>
      </c>
      <c r="D20" s="33">
        <v>16</v>
      </c>
      <c r="E20" s="34">
        <f t="shared" si="7"/>
        <v>2.83</v>
      </c>
      <c r="F20" s="13" t="e">
        <f t="shared" si="9"/>
        <v>#REF!</v>
      </c>
      <c r="G20" s="13" t="e">
        <f t="shared" si="10"/>
        <v>#REF!</v>
      </c>
      <c r="H20">
        <v>0.02</v>
      </c>
      <c r="I20" s="33">
        <v>16</v>
      </c>
      <c r="J20" s="14">
        <f t="shared" si="0"/>
        <v>2.27</v>
      </c>
      <c r="K20" s="34">
        <f t="shared" si="8"/>
        <v>48.5568</v>
      </c>
      <c r="L20" s="33" t="s">
        <v>22</v>
      </c>
      <c r="M20" s="14">
        <v>0.562</v>
      </c>
      <c r="N20" s="14">
        <v>4.1</v>
      </c>
      <c r="O20" s="48">
        <f t="shared" si="2"/>
        <v>224.0464</v>
      </c>
      <c r="P20" s="20"/>
      <c r="Q20" s="11"/>
      <c r="R20" s="18"/>
    </row>
    <row r="21" spans="1:24">
      <c r="A21" s="10">
        <v>44768.6041666667</v>
      </c>
      <c r="B21" s="11">
        <v>30</v>
      </c>
      <c r="C21" s="11">
        <f t="shared" si="3"/>
        <v>150</v>
      </c>
      <c r="D21" s="33">
        <v>17</v>
      </c>
      <c r="E21" s="34">
        <f t="shared" si="7"/>
        <v>2.84</v>
      </c>
      <c r="F21" s="13" t="e">
        <f t="shared" si="9"/>
        <v>#REF!</v>
      </c>
      <c r="G21" s="13" t="e">
        <f t="shared" si="10"/>
        <v>#REF!</v>
      </c>
      <c r="H21">
        <v>0.01</v>
      </c>
      <c r="I21" s="33">
        <v>17</v>
      </c>
      <c r="J21" s="14">
        <f t="shared" si="0"/>
        <v>2.28</v>
      </c>
      <c r="K21" s="34">
        <f t="shared" si="8"/>
        <v>48.5568</v>
      </c>
      <c r="L21" s="33" t="s">
        <v>22</v>
      </c>
      <c r="M21" s="14">
        <v>0.562</v>
      </c>
      <c r="N21" s="14">
        <v>4.1</v>
      </c>
      <c r="O21" s="48">
        <f t="shared" si="2"/>
        <v>225.058</v>
      </c>
      <c r="P21" s="20">
        <v>36</v>
      </c>
      <c r="Q21" s="11">
        <v>25</v>
      </c>
      <c r="R21" s="18">
        <v>49.63</v>
      </c>
      <c r="S21" s="14">
        <v>0.303</v>
      </c>
      <c r="T21" s="14">
        <v>3.4</v>
      </c>
      <c r="V21" s="55">
        <f>S21*3.6</f>
        <v>1.0908</v>
      </c>
      <c r="W21" s="55">
        <f>V21*24</f>
        <v>26.1792</v>
      </c>
      <c r="X21" s="55">
        <f>W21/R21</f>
        <v>0.527487406810397</v>
      </c>
    </row>
    <row r="22" spans="1:24">
      <c r="A22" s="10">
        <v>44768.625</v>
      </c>
      <c r="B22" s="36">
        <v>30</v>
      </c>
      <c r="C22" s="11">
        <f t="shared" si="3"/>
        <v>180</v>
      </c>
      <c r="D22" s="33">
        <v>18</v>
      </c>
      <c r="E22" s="34">
        <f t="shared" si="7"/>
        <v>2.86</v>
      </c>
      <c r="F22" s="13" t="e">
        <f t="shared" si="9"/>
        <v>#REF!</v>
      </c>
      <c r="G22" s="13" t="e">
        <f t="shared" si="10"/>
        <v>#REF!</v>
      </c>
      <c r="H22">
        <v>0.02</v>
      </c>
      <c r="I22" s="33">
        <v>18</v>
      </c>
      <c r="J22" s="14">
        <f t="shared" si="0"/>
        <v>2.3</v>
      </c>
      <c r="K22" s="34">
        <f t="shared" si="8"/>
        <v>48.5568</v>
      </c>
      <c r="L22" s="33" t="s">
        <v>22</v>
      </c>
      <c r="M22" s="14">
        <v>0.562</v>
      </c>
      <c r="N22" s="14">
        <v>4.1</v>
      </c>
      <c r="O22" s="48">
        <f t="shared" si="2"/>
        <v>226.0696</v>
      </c>
      <c r="P22" s="20"/>
      <c r="Q22" s="11"/>
      <c r="R22" s="18">
        <v>92.86</v>
      </c>
      <c r="S22" s="14">
        <v>0.4</v>
      </c>
      <c r="T22" s="14">
        <v>3.8</v>
      </c>
      <c r="V22" s="55">
        <f>S22*3.6</f>
        <v>1.44</v>
      </c>
      <c r="W22" s="55">
        <f>V22*24</f>
        <v>34.56</v>
      </c>
      <c r="X22" s="55">
        <f>W22/R22</f>
        <v>0.372173163902649</v>
      </c>
    </row>
    <row r="23" spans="1:24">
      <c r="A23" s="10">
        <v>44768.6458333334</v>
      </c>
      <c r="B23" s="11">
        <v>30</v>
      </c>
      <c r="C23" s="11">
        <f t="shared" si="3"/>
        <v>210</v>
      </c>
      <c r="D23" s="33">
        <v>19</v>
      </c>
      <c r="E23" s="34">
        <f t="shared" si="7"/>
        <v>2.87</v>
      </c>
      <c r="F23" s="13" t="e">
        <f t="shared" si="9"/>
        <v>#REF!</v>
      </c>
      <c r="G23" s="13" t="e">
        <f t="shared" si="10"/>
        <v>#REF!</v>
      </c>
      <c r="H23">
        <v>0.01</v>
      </c>
      <c r="I23" s="33">
        <v>19</v>
      </c>
      <c r="J23" s="14">
        <f t="shared" si="0"/>
        <v>2.31</v>
      </c>
      <c r="K23" s="34">
        <f t="shared" si="8"/>
        <v>48.5568</v>
      </c>
      <c r="L23" s="33" t="s">
        <v>22</v>
      </c>
      <c r="M23" s="14">
        <v>0.562</v>
      </c>
      <c r="N23" s="14">
        <v>4.1</v>
      </c>
      <c r="O23" s="48">
        <f t="shared" si="2"/>
        <v>227.0812</v>
      </c>
      <c r="P23" s="20"/>
      <c r="Q23" s="11">
        <f t="shared" ref="Q23:Q25" si="11">R23+4.65</f>
        <v>146.87</v>
      </c>
      <c r="R23" s="14">
        <v>142.22</v>
      </c>
      <c r="S23" s="14">
        <v>0.454</v>
      </c>
      <c r="T23" s="14">
        <v>4.1</v>
      </c>
      <c r="V23" s="55">
        <f>S23*3.6</f>
        <v>1.6344</v>
      </c>
      <c r="W23" s="55">
        <f>V23*24</f>
        <v>39.2256</v>
      </c>
      <c r="X23" s="55">
        <f>W23/R23</f>
        <v>0.275809309520461</v>
      </c>
    </row>
    <row r="24" spans="1:18">
      <c r="A24" s="10">
        <v>44768.6666666667</v>
      </c>
      <c r="B24" s="36">
        <v>30</v>
      </c>
      <c r="C24" s="11">
        <f t="shared" si="3"/>
        <v>240</v>
      </c>
      <c r="D24" s="33">
        <v>20</v>
      </c>
      <c r="E24" s="34">
        <f t="shared" si="7"/>
        <v>2.88</v>
      </c>
      <c r="F24" s="13" t="e">
        <f t="shared" si="9"/>
        <v>#REF!</v>
      </c>
      <c r="G24" s="13" t="e">
        <f t="shared" si="10"/>
        <v>#REF!</v>
      </c>
      <c r="H24">
        <v>0.01</v>
      </c>
      <c r="I24" s="33">
        <v>20</v>
      </c>
      <c r="J24" s="14">
        <f t="shared" si="0"/>
        <v>2.32</v>
      </c>
      <c r="K24" s="34">
        <f t="shared" si="8"/>
        <v>48.5568</v>
      </c>
      <c r="L24" s="33" t="s">
        <v>22</v>
      </c>
      <c r="M24" s="14">
        <v>0.562</v>
      </c>
      <c r="N24" s="14">
        <v>4.1</v>
      </c>
      <c r="O24" s="48">
        <f t="shared" si="2"/>
        <v>228.0928</v>
      </c>
      <c r="P24" s="49"/>
      <c r="Q24" s="11">
        <f t="shared" si="11"/>
        <v>4.65</v>
      </c>
      <c r="R24" s="18"/>
    </row>
    <row r="25" spans="1:18">
      <c r="A25" s="10">
        <v>44768.6875</v>
      </c>
      <c r="B25" s="11">
        <v>30</v>
      </c>
      <c r="C25" s="11">
        <f t="shared" si="3"/>
        <v>270</v>
      </c>
      <c r="D25" s="33">
        <v>21</v>
      </c>
      <c r="E25" s="34">
        <f t="shared" si="7"/>
        <v>2.88</v>
      </c>
      <c r="F25" s="13" t="e">
        <f t="shared" si="9"/>
        <v>#REF!</v>
      </c>
      <c r="G25" s="13" t="e">
        <f t="shared" si="10"/>
        <v>#REF!</v>
      </c>
      <c r="H25" s="13">
        <v>0</v>
      </c>
      <c r="I25" s="33">
        <v>21</v>
      </c>
      <c r="J25" s="14">
        <f t="shared" si="0"/>
        <v>2.32</v>
      </c>
      <c r="K25" s="34">
        <f t="shared" si="8"/>
        <v>48.5568</v>
      </c>
      <c r="L25" s="33" t="s">
        <v>22</v>
      </c>
      <c r="M25" s="14">
        <v>0.562</v>
      </c>
      <c r="N25" s="14">
        <v>4.1</v>
      </c>
      <c r="O25" s="48">
        <f t="shared" si="2"/>
        <v>229.1044</v>
      </c>
      <c r="Q25" s="11">
        <f t="shared" si="11"/>
        <v>4.65</v>
      </c>
      <c r="R25" s="18"/>
    </row>
    <row r="26" spans="1:23">
      <c r="A26" s="10">
        <v>44768.7083333334</v>
      </c>
      <c r="B26" s="36">
        <v>30</v>
      </c>
      <c r="C26" s="11">
        <f t="shared" si="3"/>
        <v>300</v>
      </c>
      <c r="D26" s="33">
        <v>22</v>
      </c>
      <c r="E26" s="34">
        <f t="shared" si="7"/>
        <v>2.88</v>
      </c>
      <c r="F26" s="13" t="e">
        <f t="shared" si="9"/>
        <v>#REF!</v>
      </c>
      <c r="G26" s="13" t="e">
        <f t="shared" si="10"/>
        <v>#REF!</v>
      </c>
      <c r="H26" s="13">
        <v>0</v>
      </c>
      <c r="I26" s="33">
        <v>22</v>
      </c>
      <c r="J26" s="14">
        <f t="shared" si="0"/>
        <v>2.32</v>
      </c>
      <c r="K26" s="34">
        <f t="shared" si="8"/>
        <v>48.5568</v>
      </c>
      <c r="L26" s="33" t="s">
        <v>22</v>
      </c>
      <c r="M26" s="14">
        <v>0.562</v>
      </c>
      <c r="N26" s="14">
        <v>4.1</v>
      </c>
      <c r="O26" s="48">
        <f t="shared" si="2"/>
        <v>230.116</v>
      </c>
      <c r="P26" s="20"/>
      <c r="Q26" s="11"/>
      <c r="R26" s="18">
        <v>540</v>
      </c>
      <c r="S26" s="14">
        <v>560</v>
      </c>
      <c r="T26" s="14">
        <v>1470</v>
      </c>
      <c r="U26" s="18">
        <f>T26+S26+R26</f>
        <v>2570</v>
      </c>
      <c r="V26" s="18">
        <f>U26/60</f>
        <v>42.8333333333333</v>
      </c>
      <c r="W26" s="18">
        <f>V26/8</f>
        <v>5.35416666666667</v>
      </c>
    </row>
    <row r="27" spans="1:23">
      <c r="A27" s="10">
        <v>44768.7291666667</v>
      </c>
      <c r="B27" s="11">
        <v>30</v>
      </c>
      <c r="C27" s="11">
        <f t="shared" si="3"/>
        <v>330</v>
      </c>
      <c r="D27" s="33">
        <v>23</v>
      </c>
      <c r="E27" s="34">
        <f t="shared" si="7"/>
        <v>2.88</v>
      </c>
      <c r="F27" s="13">
        <v>5.85</v>
      </c>
      <c r="G27" s="13" t="e">
        <f t="shared" si="10"/>
        <v>#REF!</v>
      </c>
      <c r="H27" s="13">
        <v>0</v>
      </c>
      <c r="I27" s="33">
        <v>23</v>
      </c>
      <c r="J27" s="14">
        <f t="shared" si="0"/>
        <v>2.32</v>
      </c>
      <c r="K27" s="34">
        <f t="shared" si="8"/>
        <v>48.5568</v>
      </c>
      <c r="L27" s="33" t="s">
        <v>22</v>
      </c>
      <c r="M27" s="14">
        <v>0.562</v>
      </c>
      <c r="N27" s="14">
        <v>4.1</v>
      </c>
      <c r="O27" s="48">
        <f t="shared" si="2"/>
        <v>231.1276</v>
      </c>
      <c r="P27" s="20">
        <v>38</v>
      </c>
      <c r="Q27" s="11">
        <v>20</v>
      </c>
      <c r="R27" s="18">
        <v>720</v>
      </c>
      <c r="S27" s="14">
        <v>780</v>
      </c>
      <c r="T27" s="14">
        <v>1470</v>
      </c>
      <c r="U27" s="18">
        <f>T27+S27+R27</f>
        <v>2970</v>
      </c>
      <c r="V27" s="18">
        <f>U27/60</f>
        <v>49.5</v>
      </c>
      <c r="W27" s="18">
        <f>V27/8</f>
        <v>6.1875</v>
      </c>
    </row>
    <row r="28" spans="1:23">
      <c r="A28" s="10">
        <v>44768.75</v>
      </c>
      <c r="B28" s="36">
        <v>30</v>
      </c>
      <c r="C28" s="11">
        <f t="shared" si="3"/>
        <v>360</v>
      </c>
      <c r="D28" s="33">
        <v>24</v>
      </c>
      <c r="E28" s="34">
        <f t="shared" si="7"/>
        <v>2.88</v>
      </c>
      <c r="F28" s="13">
        <v>5.45</v>
      </c>
      <c r="G28" s="13" t="e">
        <f t="shared" si="10"/>
        <v>#REF!</v>
      </c>
      <c r="H28" s="13">
        <v>0</v>
      </c>
      <c r="I28" s="33">
        <v>24</v>
      </c>
      <c r="J28" s="14">
        <f t="shared" si="0"/>
        <v>2.32</v>
      </c>
      <c r="K28" s="34">
        <f t="shared" si="8"/>
        <v>48.5568</v>
      </c>
      <c r="L28" s="33" t="s">
        <v>22</v>
      </c>
      <c r="M28" s="14">
        <v>0.562</v>
      </c>
      <c r="N28" s="14">
        <v>4.1</v>
      </c>
      <c r="O28" s="48">
        <f t="shared" si="2"/>
        <v>232.1392</v>
      </c>
      <c r="P28" s="20"/>
      <c r="Q28" s="11"/>
      <c r="R28" s="18">
        <v>960</v>
      </c>
      <c r="S28" s="14">
        <v>870</v>
      </c>
      <c r="T28" s="14">
        <v>1470</v>
      </c>
      <c r="U28" s="18">
        <f>T28+S28+R28</f>
        <v>3300</v>
      </c>
      <c r="V28" s="18">
        <f>U28/60</f>
        <v>55</v>
      </c>
      <c r="W28" s="18">
        <f>V28/8</f>
        <v>6.875</v>
      </c>
    </row>
    <row r="29" spans="1:18">
      <c r="A29" s="10">
        <v>44768.7708333334</v>
      </c>
      <c r="B29" s="11">
        <v>30</v>
      </c>
      <c r="C29" s="11">
        <f t="shared" si="3"/>
        <v>390</v>
      </c>
      <c r="D29" s="33">
        <v>25</v>
      </c>
      <c r="E29" s="34">
        <f t="shared" si="7"/>
        <v>2.88</v>
      </c>
      <c r="F29" s="13">
        <v>5.08</v>
      </c>
      <c r="G29" s="13" t="e">
        <f t="shared" si="10"/>
        <v>#REF!</v>
      </c>
      <c r="H29" s="13">
        <v>0</v>
      </c>
      <c r="I29" s="33">
        <v>25</v>
      </c>
      <c r="J29" s="14">
        <f t="shared" si="0"/>
        <v>2.32</v>
      </c>
      <c r="K29" s="34">
        <f t="shared" si="8"/>
        <v>48.5568</v>
      </c>
      <c r="L29" s="33" t="s">
        <v>22</v>
      </c>
      <c r="M29" s="14">
        <v>0.562</v>
      </c>
      <c r="N29" s="14">
        <v>4.1</v>
      </c>
      <c r="O29" s="48">
        <f t="shared" si="2"/>
        <v>233.1508</v>
      </c>
      <c r="P29" s="20"/>
      <c r="R29" s="18"/>
    </row>
    <row r="30" spans="1:18">
      <c r="A30" s="10">
        <v>44768.7916666667</v>
      </c>
      <c r="B30" s="11">
        <v>30</v>
      </c>
      <c r="C30" s="11">
        <f t="shared" si="3"/>
        <v>420</v>
      </c>
      <c r="D30" s="33">
        <v>26</v>
      </c>
      <c r="E30" s="34">
        <f t="shared" si="7"/>
        <v>2.88</v>
      </c>
      <c r="F30" s="13">
        <v>4.58</v>
      </c>
      <c r="G30" s="13" t="e">
        <f t="shared" si="10"/>
        <v>#REF!</v>
      </c>
      <c r="H30" s="13">
        <v>0</v>
      </c>
      <c r="I30" s="33">
        <v>26</v>
      </c>
      <c r="J30" s="14">
        <f t="shared" si="0"/>
        <v>2.32</v>
      </c>
      <c r="K30" s="34">
        <f t="shared" si="8"/>
        <v>48.5568</v>
      </c>
      <c r="L30" s="33" t="s">
        <v>22</v>
      </c>
      <c r="M30" s="14">
        <v>0.562</v>
      </c>
      <c r="N30" s="14">
        <v>4.1</v>
      </c>
      <c r="O30" s="48">
        <f t="shared" si="2"/>
        <v>234.1624</v>
      </c>
      <c r="R30" s="18"/>
    </row>
    <row r="31" spans="1:18">
      <c r="A31" s="10">
        <v>44768.8125</v>
      </c>
      <c r="B31" s="11">
        <v>30</v>
      </c>
      <c r="C31" s="11">
        <f t="shared" si="3"/>
        <v>450</v>
      </c>
      <c r="D31" s="33">
        <v>27</v>
      </c>
      <c r="E31" s="34">
        <f t="shared" si="7"/>
        <v>2.88</v>
      </c>
      <c r="F31" s="13">
        <v>4.2</v>
      </c>
      <c r="G31" s="13" t="e">
        <f t="shared" si="10"/>
        <v>#REF!</v>
      </c>
      <c r="H31" s="13">
        <v>0</v>
      </c>
      <c r="I31" s="33">
        <v>27</v>
      </c>
      <c r="J31" s="14">
        <f t="shared" si="0"/>
        <v>2.32</v>
      </c>
      <c r="K31" s="34">
        <f t="shared" si="8"/>
        <v>48.5568</v>
      </c>
      <c r="L31" s="33" t="s">
        <v>22</v>
      </c>
      <c r="M31" s="14">
        <v>0.562</v>
      </c>
      <c r="N31" s="14">
        <v>4.1</v>
      </c>
      <c r="O31" s="48">
        <f t="shared" si="2"/>
        <v>235.174</v>
      </c>
      <c r="P31" s="20"/>
      <c r="Q31" s="11"/>
      <c r="R31" s="14">
        <f>R26+R27+R28+S26+S27+S28</f>
        <v>4430</v>
      </c>
    </row>
    <row r="32" spans="1:18">
      <c r="A32" s="10">
        <v>44768.8333333334</v>
      </c>
      <c r="B32" s="11">
        <v>30</v>
      </c>
      <c r="C32" s="11">
        <f t="shared" si="3"/>
        <v>480</v>
      </c>
      <c r="D32" s="33">
        <v>28</v>
      </c>
      <c r="E32" s="34">
        <f t="shared" si="7"/>
        <v>2.88</v>
      </c>
      <c r="F32" s="13">
        <v>3.79</v>
      </c>
      <c r="G32" s="13" t="e">
        <f t="shared" si="10"/>
        <v>#REF!</v>
      </c>
      <c r="H32" s="13">
        <v>0</v>
      </c>
      <c r="I32" s="33">
        <v>28</v>
      </c>
      <c r="J32" s="14">
        <f t="shared" si="0"/>
        <v>2.32</v>
      </c>
      <c r="K32" s="34">
        <f t="shared" si="8"/>
        <v>48.5568</v>
      </c>
      <c r="L32" s="33" t="s">
        <v>22</v>
      </c>
      <c r="M32" s="14">
        <v>0.562</v>
      </c>
      <c r="N32" s="14">
        <v>4.1</v>
      </c>
      <c r="O32" s="48">
        <f t="shared" si="2"/>
        <v>236.1856</v>
      </c>
      <c r="P32" s="20"/>
      <c r="Q32" s="11"/>
      <c r="R32" s="14">
        <v>4320</v>
      </c>
    </row>
    <row r="33" spans="1:17">
      <c r="A33" s="10">
        <v>44768.8541666667</v>
      </c>
      <c r="B33" s="11">
        <v>30</v>
      </c>
      <c r="C33" s="11">
        <f t="shared" si="3"/>
        <v>510</v>
      </c>
      <c r="D33" s="33">
        <v>29</v>
      </c>
      <c r="E33" s="34">
        <f t="shared" si="7"/>
        <v>2.88</v>
      </c>
      <c r="F33" s="13">
        <v>3.45</v>
      </c>
      <c r="G33" s="13" t="e">
        <f t="shared" si="10"/>
        <v>#REF!</v>
      </c>
      <c r="H33" s="13">
        <v>0</v>
      </c>
      <c r="I33" s="33">
        <v>29</v>
      </c>
      <c r="J33" s="14">
        <f t="shared" si="0"/>
        <v>2.32</v>
      </c>
      <c r="K33" s="34">
        <f t="shared" si="8"/>
        <v>48.5568</v>
      </c>
      <c r="L33" s="33" t="s">
        <v>22</v>
      </c>
      <c r="M33" s="14">
        <v>0.562</v>
      </c>
      <c r="N33" s="14">
        <v>4.1</v>
      </c>
      <c r="O33" s="48">
        <f t="shared" si="2"/>
        <v>237.1972</v>
      </c>
      <c r="P33" s="20">
        <v>39</v>
      </c>
      <c r="Q33" s="11">
        <v>19</v>
      </c>
    </row>
    <row r="34" spans="1:19">
      <c r="A34" s="10">
        <v>44768.875</v>
      </c>
      <c r="B34" s="11">
        <v>30</v>
      </c>
      <c r="C34" s="11">
        <f t="shared" si="3"/>
        <v>540</v>
      </c>
      <c r="D34" s="33">
        <v>30</v>
      </c>
      <c r="E34" s="34">
        <f t="shared" si="7"/>
        <v>2.88</v>
      </c>
      <c r="F34" s="13">
        <v>3.15</v>
      </c>
      <c r="G34" s="13" t="e">
        <f t="shared" si="10"/>
        <v>#REF!</v>
      </c>
      <c r="H34" s="13">
        <v>0</v>
      </c>
      <c r="I34" s="33">
        <v>30</v>
      </c>
      <c r="J34" s="14">
        <f t="shared" si="0"/>
        <v>2.32</v>
      </c>
      <c r="K34" s="34">
        <f t="shared" si="8"/>
        <v>48.5568</v>
      </c>
      <c r="L34" s="33" t="s">
        <v>22</v>
      </c>
      <c r="M34" s="14">
        <v>0.562</v>
      </c>
      <c r="N34" s="14">
        <v>4.1</v>
      </c>
      <c r="O34" s="48">
        <f t="shared" si="2"/>
        <v>238.2088</v>
      </c>
      <c r="P34" s="20"/>
      <c r="Q34" s="11"/>
      <c r="R34" s="34"/>
      <c r="S34" s="34"/>
    </row>
    <row r="35" s="16" customFormat="1" ht="12.75" spans="1:21">
      <c r="A35" s="10">
        <v>44768.875</v>
      </c>
      <c r="B35" s="11">
        <v>0</v>
      </c>
      <c r="C35" s="16">
        <f>C34+B35</f>
        <v>540</v>
      </c>
      <c r="D35" s="29"/>
      <c r="E35" s="34">
        <f t="shared" si="7"/>
        <v>2.88</v>
      </c>
      <c r="F35" s="37"/>
      <c r="G35" s="30">
        <v>0</v>
      </c>
      <c r="H35" s="31">
        <v>0</v>
      </c>
      <c r="I35" s="31"/>
      <c r="J35" s="30">
        <v>2.32</v>
      </c>
      <c r="K35" s="37">
        <v>0</v>
      </c>
      <c r="L35" s="16" t="s">
        <v>29</v>
      </c>
      <c r="M35" s="30">
        <v>0</v>
      </c>
      <c r="N35" s="46"/>
      <c r="O35" s="48">
        <f t="shared" si="2"/>
        <v>238.2088</v>
      </c>
      <c r="P35" s="50"/>
      <c r="Q35" s="37"/>
      <c r="R35" s="37"/>
      <c r="S35" s="37"/>
      <c r="T35" s="37"/>
      <c r="U35" s="53"/>
    </row>
    <row r="36" s="11" customFormat="1" spans="1:21">
      <c r="A36" s="10">
        <v>44768.8756944445</v>
      </c>
      <c r="B36" s="11">
        <v>1</v>
      </c>
      <c r="C36" s="11">
        <f t="shared" ref="C36:C60" si="12">B36+C35</f>
        <v>541</v>
      </c>
      <c r="D36" s="33">
        <v>1</v>
      </c>
      <c r="E36" s="34">
        <f t="shared" si="7"/>
        <v>3.23</v>
      </c>
      <c r="F36" s="13">
        <v>3.85</v>
      </c>
      <c r="G36" s="34">
        <f t="shared" ref="G36:G60" si="13">G35+F36</f>
        <v>3.85</v>
      </c>
      <c r="H36">
        <v>0.35</v>
      </c>
      <c r="I36" s="33">
        <v>1</v>
      </c>
      <c r="J36" s="14">
        <f>J35+H36</f>
        <v>2.67</v>
      </c>
      <c r="K36" s="34">
        <f t="shared" ref="K36:K60" si="14">M36*86.4</f>
        <v>73.2672</v>
      </c>
      <c r="L36" s="33" t="s">
        <v>22</v>
      </c>
      <c r="M36" s="14">
        <v>0.848</v>
      </c>
      <c r="N36" s="14">
        <v>3.8</v>
      </c>
      <c r="O36" s="48">
        <f t="shared" si="2"/>
        <v>238.25968</v>
      </c>
      <c r="P36" s="49">
        <v>42</v>
      </c>
      <c r="Q36" s="11">
        <v>20</v>
      </c>
      <c r="R36" s="14"/>
      <c r="S36" s="14"/>
      <c r="T36" s="14"/>
      <c r="U36" s="54"/>
    </row>
    <row r="37" s="11" customFormat="1" spans="1:21">
      <c r="A37" s="10">
        <v>44768.8763888889</v>
      </c>
      <c r="B37" s="11">
        <v>1</v>
      </c>
      <c r="C37" s="11">
        <f t="shared" si="12"/>
        <v>542</v>
      </c>
      <c r="D37" s="33">
        <v>2</v>
      </c>
      <c r="E37" s="34">
        <f t="shared" si="7"/>
        <v>3.51</v>
      </c>
      <c r="F37" s="13">
        <v>3.6</v>
      </c>
      <c r="G37" s="34">
        <f t="shared" si="13"/>
        <v>7.45</v>
      </c>
      <c r="H37">
        <v>0.28</v>
      </c>
      <c r="I37" s="33">
        <v>2</v>
      </c>
      <c r="J37" s="14">
        <f t="shared" ref="J37:J52" si="15">J36+H37</f>
        <v>2.95</v>
      </c>
      <c r="K37" s="34">
        <f t="shared" si="14"/>
        <v>73.2672</v>
      </c>
      <c r="L37" s="33" t="s">
        <v>22</v>
      </c>
      <c r="M37" s="14">
        <v>0.848</v>
      </c>
      <c r="N37" s="14">
        <v>3.8</v>
      </c>
      <c r="O37" s="48">
        <f t="shared" ref="O37:O68" si="16">M37*B37*60/1000+O36</f>
        <v>238.31056</v>
      </c>
      <c r="P37" s="49"/>
      <c r="S37" s="14"/>
      <c r="U37" s="54"/>
    </row>
    <row r="38" s="11" customFormat="1" spans="1:21">
      <c r="A38" s="10">
        <v>44768.8770833334</v>
      </c>
      <c r="B38" s="11">
        <v>1</v>
      </c>
      <c r="C38" s="11">
        <f t="shared" si="12"/>
        <v>543</v>
      </c>
      <c r="D38" s="33">
        <v>3</v>
      </c>
      <c r="E38" s="34">
        <f t="shared" si="7"/>
        <v>3.7</v>
      </c>
      <c r="F38" s="13">
        <v>3.11</v>
      </c>
      <c r="G38" s="34">
        <f t="shared" si="13"/>
        <v>10.56</v>
      </c>
      <c r="H38">
        <v>0.19</v>
      </c>
      <c r="I38" s="33">
        <v>3</v>
      </c>
      <c r="J38" s="14">
        <f t="shared" si="15"/>
        <v>3.14</v>
      </c>
      <c r="K38" s="34">
        <f t="shared" si="14"/>
        <v>73.2672</v>
      </c>
      <c r="L38" s="33" t="s">
        <v>22</v>
      </c>
      <c r="M38" s="14">
        <v>0.848</v>
      </c>
      <c r="N38" s="14">
        <v>3.8</v>
      </c>
      <c r="O38" s="48">
        <f t="shared" si="16"/>
        <v>238.36144</v>
      </c>
      <c r="P38" s="49"/>
      <c r="Q38" s="14"/>
      <c r="S38" s="14"/>
      <c r="U38" s="54"/>
    </row>
    <row r="39" s="11" customFormat="1" spans="1:21">
      <c r="A39" s="10">
        <v>44768.8777777778</v>
      </c>
      <c r="B39" s="11">
        <v>1</v>
      </c>
      <c r="C39" s="11">
        <f t="shared" si="12"/>
        <v>544</v>
      </c>
      <c r="D39" s="33">
        <v>4</v>
      </c>
      <c r="E39" s="34">
        <f t="shared" si="7"/>
        <v>3.85</v>
      </c>
      <c r="F39" s="13">
        <v>2.67</v>
      </c>
      <c r="G39" s="34">
        <f t="shared" si="13"/>
        <v>13.23</v>
      </c>
      <c r="H39">
        <v>0.15</v>
      </c>
      <c r="I39" s="33">
        <v>4</v>
      </c>
      <c r="J39" s="14">
        <f t="shared" si="15"/>
        <v>3.29</v>
      </c>
      <c r="K39" s="34">
        <f t="shared" si="14"/>
        <v>73.2672</v>
      </c>
      <c r="L39" s="33" t="s">
        <v>22</v>
      </c>
      <c r="M39" s="14">
        <v>0.848</v>
      </c>
      <c r="N39" s="14">
        <v>3.8</v>
      </c>
      <c r="O39" s="48">
        <f t="shared" si="16"/>
        <v>238.41232</v>
      </c>
      <c r="P39" s="49"/>
      <c r="S39" s="14"/>
      <c r="U39" s="54"/>
    </row>
    <row r="40" s="11" customFormat="1" spans="1:21">
      <c r="A40" s="10">
        <v>44768.8791666667</v>
      </c>
      <c r="B40" s="11">
        <v>2</v>
      </c>
      <c r="C40" s="11">
        <f t="shared" si="12"/>
        <v>546</v>
      </c>
      <c r="D40" s="33">
        <v>5</v>
      </c>
      <c r="E40" s="34">
        <f t="shared" si="7"/>
        <v>3.97</v>
      </c>
      <c r="F40" s="13">
        <v>2.25</v>
      </c>
      <c r="G40" s="34">
        <f t="shared" si="13"/>
        <v>15.48</v>
      </c>
      <c r="H40">
        <v>0.12</v>
      </c>
      <c r="I40" s="33">
        <v>5</v>
      </c>
      <c r="J40" s="14">
        <f t="shared" si="15"/>
        <v>3.41</v>
      </c>
      <c r="K40" s="34">
        <f t="shared" si="14"/>
        <v>73.2672</v>
      </c>
      <c r="L40" s="33" t="s">
        <v>22</v>
      </c>
      <c r="M40" s="14">
        <v>0.848</v>
      </c>
      <c r="N40" s="14">
        <v>3.8</v>
      </c>
      <c r="O40" s="48">
        <f t="shared" si="16"/>
        <v>238.51408</v>
      </c>
      <c r="P40" s="49"/>
      <c r="S40" s="14"/>
      <c r="U40" s="54"/>
    </row>
    <row r="41" s="11" customFormat="1" spans="1:21">
      <c r="A41" s="10">
        <v>44768.8805555556</v>
      </c>
      <c r="B41" s="11">
        <v>2</v>
      </c>
      <c r="C41" s="11">
        <f t="shared" si="12"/>
        <v>548</v>
      </c>
      <c r="D41" s="33">
        <v>6</v>
      </c>
      <c r="E41" s="34">
        <f t="shared" si="7"/>
        <v>4.07</v>
      </c>
      <c r="F41" s="13">
        <v>2.07</v>
      </c>
      <c r="G41" s="34">
        <f t="shared" si="13"/>
        <v>17.55</v>
      </c>
      <c r="H41">
        <v>0.1</v>
      </c>
      <c r="I41" s="33">
        <v>6</v>
      </c>
      <c r="J41" s="14">
        <f t="shared" si="15"/>
        <v>3.51</v>
      </c>
      <c r="K41" s="34">
        <f t="shared" si="14"/>
        <v>73.2672</v>
      </c>
      <c r="L41" s="33" t="s">
        <v>22</v>
      </c>
      <c r="M41" s="14">
        <v>0.848</v>
      </c>
      <c r="N41" s="14">
        <v>3.8</v>
      </c>
      <c r="O41" s="48">
        <f t="shared" si="16"/>
        <v>238.61584</v>
      </c>
      <c r="P41" s="49"/>
      <c r="R41" s="14"/>
      <c r="S41" s="14"/>
      <c r="T41" s="14"/>
      <c r="U41" s="54"/>
    </row>
    <row r="42" s="11" customFormat="1" spans="1:21">
      <c r="A42" s="10">
        <v>44768.8819444445</v>
      </c>
      <c r="B42" s="11">
        <v>2</v>
      </c>
      <c r="C42" s="11">
        <f t="shared" si="12"/>
        <v>550</v>
      </c>
      <c r="D42" s="33">
        <v>7</v>
      </c>
      <c r="E42" s="34">
        <f t="shared" si="7"/>
        <v>4.14</v>
      </c>
      <c r="F42" s="13">
        <v>9.26</v>
      </c>
      <c r="G42" s="34">
        <f t="shared" si="13"/>
        <v>26.81</v>
      </c>
      <c r="H42">
        <v>0.07</v>
      </c>
      <c r="I42" s="33">
        <v>7</v>
      </c>
      <c r="J42" s="14">
        <f t="shared" si="15"/>
        <v>3.58</v>
      </c>
      <c r="K42" s="34">
        <f t="shared" si="14"/>
        <v>73.2672</v>
      </c>
      <c r="L42" s="33" t="s">
        <v>22</v>
      </c>
      <c r="M42" s="14">
        <v>0.848</v>
      </c>
      <c r="N42" s="14">
        <v>3.8</v>
      </c>
      <c r="O42" s="48">
        <f t="shared" si="16"/>
        <v>238.7176</v>
      </c>
      <c r="P42" s="49"/>
      <c r="S42" s="14"/>
      <c r="U42" s="54"/>
    </row>
    <row r="43" s="11" customFormat="1" spans="1:21">
      <c r="A43" s="10">
        <v>44768.8854166667</v>
      </c>
      <c r="B43" s="36">
        <v>5</v>
      </c>
      <c r="C43" s="11">
        <f t="shared" si="12"/>
        <v>555</v>
      </c>
      <c r="D43" s="33">
        <v>8</v>
      </c>
      <c r="E43" s="34">
        <f t="shared" si="7"/>
        <v>4.23</v>
      </c>
      <c r="F43" s="13">
        <v>7.15</v>
      </c>
      <c r="G43" s="34">
        <f t="shared" si="13"/>
        <v>33.96</v>
      </c>
      <c r="H43">
        <v>0.09</v>
      </c>
      <c r="I43" s="33">
        <v>8</v>
      </c>
      <c r="J43" s="14">
        <f t="shared" si="15"/>
        <v>3.67</v>
      </c>
      <c r="K43" s="34">
        <f t="shared" si="14"/>
        <v>73.2672</v>
      </c>
      <c r="L43" s="33" t="s">
        <v>22</v>
      </c>
      <c r="M43" s="14">
        <v>0.848</v>
      </c>
      <c r="N43" s="14">
        <v>3.8</v>
      </c>
      <c r="O43" s="48">
        <f t="shared" si="16"/>
        <v>238.972</v>
      </c>
      <c r="P43" s="49"/>
      <c r="R43" s="47"/>
      <c r="S43" s="14"/>
      <c r="T43" s="14"/>
      <c r="U43" s="54"/>
    </row>
    <row r="44" s="11" customFormat="1" spans="1:21">
      <c r="A44" s="10">
        <v>44768.8888888889</v>
      </c>
      <c r="B44" s="11">
        <v>5</v>
      </c>
      <c r="C44" s="11">
        <f t="shared" si="12"/>
        <v>560</v>
      </c>
      <c r="D44" s="33">
        <v>9</v>
      </c>
      <c r="E44" s="34">
        <f t="shared" si="7"/>
        <v>4.29</v>
      </c>
      <c r="F44" s="13">
        <v>6.41</v>
      </c>
      <c r="G44" s="34">
        <f t="shared" si="13"/>
        <v>40.37</v>
      </c>
      <c r="H44">
        <v>0.06</v>
      </c>
      <c r="I44" s="33">
        <v>9</v>
      </c>
      <c r="J44" s="14">
        <f t="shared" si="15"/>
        <v>3.73</v>
      </c>
      <c r="K44" s="34">
        <f t="shared" si="14"/>
        <v>73.2672</v>
      </c>
      <c r="L44" s="33" t="s">
        <v>22</v>
      </c>
      <c r="M44" s="14">
        <v>0.848</v>
      </c>
      <c r="N44" s="14">
        <v>3.8</v>
      </c>
      <c r="O44" s="48">
        <f t="shared" si="16"/>
        <v>239.2264</v>
      </c>
      <c r="P44" s="20"/>
      <c r="R44" s="47"/>
      <c r="S44" s="14"/>
      <c r="T44" s="14"/>
      <c r="U44" s="54"/>
    </row>
    <row r="45" s="11" customFormat="1" spans="1:21">
      <c r="A45" s="10">
        <v>44768.8923611111</v>
      </c>
      <c r="B45" s="36">
        <v>5</v>
      </c>
      <c r="C45" s="11">
        <f t="shared" si="12"/>
        <v>565</v>
      </c>
      <c r="D45" s="33">
        <v>10</v>
      </c>
      <c r="E45" s="34">
        <f t="shared" si="7"/>
        <v>4.32</v>
      </c>
      <c r="F45" s="13">
        <v>6.15</v>
      </c>
      <c r="G45" s="34">
        <f t="shared" si="13"/>
        <v>46.52</v>
      </c>
      <c r="H45">
        <v>0.03</v>
      </c>
      <c r="I45" s="33">
        <v>10</v>
      </c>
      <c r="J45" s="14">
        <f t="shared" si="15"/>
        <v>3.76</v>
      </c>
      <c r="K45" s="34">
        <f t="shared" si="14"/>
        <v>73.2672</v>
      </c>
      <c r="L45" s="33" t="s">
        <v>22</v>
      </c>
      <c r="M45" s="14">
        <v>0.848</v>
      </c>
      <c r="N45" s="14">
        <v>3.8</v>
      </c>
      <c r="O45" s="48">
        <f t="shared" si="16"/>
        <v>239.4808</v>
      </c>
      <c r="P45" s="20"/>
      <c r="R45" s="47"/>
      <c r="S45" s="14"/>
      <c r="T45" s="14"/>
      <c r="U45" s="54"/>
    </row>
    <row r="46" spans="1:18">
      <c r="A46" s="10">
        <v>44768.8958333334</v>
      </c>
      <c r="B46" s="11">
        <v>5</v>
      </c>
      <c r="C46" s="11">
        <f t="shared" si="12"/>
        <v>570</v>
      </c>
      <c r="D46" s="33">
        <v>11</v>
      </c>
      <c r="E46" s="34">
        <f t="shared" ref="E46:E77" si="17">0.56+J46</f>
        <v>4.34</v>
      </c>
      <c r="F46" s="13">
        <v>5.78</v>
      </c>
      <c r="G46" s="34">
        <f t="shared" si="13"/>
        <v>52.3</v>
      </c>
      <c r="H46">
        <v>0.02</v>
      </c>
      <c r="I46" s="33">
        <v>11</v>
      </c>
      <c r="J46" s="14">
        <f t="shared" si="15"/>
        <v>3.78</v>
      </c>
      <c r="K46" s="34">
        <f t="shared" si="14"/>
        <v>73.2672</v>
      </c>
      <c r="L46" s="33" t="s">
        <v>22</v>
      </c>
      <c r="M46" s="14">
        <v>0.848</v>
      </c>
      <c r="N46" s="14">
        <v>3.8</v>
      </c>
      <c r="O46" s="48">
        <f t="shared" si="16"/>
        <v>239.7352</v>
      </c>
      <c r="P46" s="49">
        <v>36</v>
      </c>
      <c r="Q46" s="11">
        <v>19</v>
      </c>
      <c r="R46" s="47"/>
    </row>
    <row r="47" spans="1:18">
      <c r="A47" s="10">
        <v>44768.9027777778</v>
      </c>
      <c r="B47" s="11">
        <v>10</v>
      </c>
      <c r="C47" s="11">
        <f t="shared" si="12"/>
        <v>580</v>
      </c>
      <c r="D47" s="33">
        <v>12</v>
      </c>
      <c r="E47" s="34">
        <f t="shared" si="17"/>
        <v>4.37</v>
      </c>
      <c r="F47" s="13">
        <v>5.31</v>
      </c>
      <c r="G47" s="34">
        <f t="shared" si="13"/>
        <v>57.61</v>
      </c>
      <c r="H47">
        <v>0.03</v>
      </c>
      <c r="I47" s="33">
        <v>12</v>
      </c>
      <c r="J47" s="14">
        <f t="shared" si="15"/>
        <v>3.81</v>
      </c>
      <c r="K47" s="34">
        <f t="shared" si="14"/>
        <v>73.2672</v>
      </c>
      <c r="L47" s="33" t="s">
        <v>22</v>
      </c>
      <c r="M47" s="14">
        <v>0.848</v>
      </c>
      <c r="N47" s="14">
        <v>3.8</v>
      </c>
      <c r="O47" s="48">
        <f t="shared" si="16"/>
        <v>240.244</v>
      </c>
      <c r="P47" s="20"/>
      <c r="Q47" s="11"/>
      <c r="R47" s="47"/>
    </row>
    <row r="48" spans="1:18">
      <c r="A48" s="10">
        <v>44768.9097222223</v>
      </c>
      <c r="B48" s="11">
        <v>10</v>
      </c>
      <c r="C48" s="11">
        <f t="shared" si="12"/>
        <v>590</v>
      </c>
      <c r="D48" s="33">
        <v>13</v>
      </c>
      <c r="E48" s="34">
        <f t="shared" si="17"/>
        <v>4.38</v>
      </c>
      <c r="F48" s="13">
        <v>4.95</v>
      </c>
      <c r="G48" s="34">
        <f t="shared" si="13"/>
        <v>62.56</v>
      </c>
      <c r="H48">
        <v>0.01</v>
      </c>
      <c r="I48" s="33">
        <v>13</v>
      </c>
      <c r="J48" s="14">
        <f t="shared" si="15"/>
        <v>3.82</v>
      </c>
      <c r="K48" s="34">
        <f t="shared" si="14"/>
        <v>73.2672</v>
      </c>
      <c r="L48" s="33" t="s">
        <v>22</v>
      </c>
      <c r="M48" s="14">
        <v>0.848</v>
      </c>
      <c r="N48" s="14">
        <v>3.8</v>
      </c>
      <c r="O48" s="48">
        <f t="shared" si="16"/>
        <v>240.7528</v>
      </c>
      <c r="R48" s="47"/>
    </row>
    <row r="49" spans="1:18">
      <c r="A49" s="10">
        <v>44768.9166666667</v>
      </c>
      <c r="B49" s="36">
        <v>10</v>
      </c>
      <c r="C49" s="11">
        <f t="shared" si="12"/>
        <v>600</v>
      </c>
      <c r="D49" s="33">
        <v>14</v>
      </c>
      <c r="E49" s="34">
        <f t="shared" si="17"/>
        <v>4.4</v>
      </c>
      <c r="F49" s="13">
        <v>4.55</v>
      </c>
      <c r="G49" s="34">
        <f t="shared" si="13"/>
        <v>67.11</v>
      </c>
      <c r="H49">
        <v>0.02</v>
      </c>
      <c r="I49" s="33">
        <v>14</v>
      </c>
      <c r="J49" s="14">
        <f t="shared" si="15"/>
        <v>3.84</v>
      </c>
      <c r="K49" s="34">
        <f t="shared" si="14"/>
        <v>73.2672</v>
      </c>
      <c r="L49" s="33" t="s">
        <v>22</v>
      </c>
      <c r="M49" s="14">
        <v>0.848</v>
      </c>
      <c r="N49" s="14">
        <v>3.8</v>
      </c>
      <c r="O49" s="48">
        <f t="shared" si="16"/>
        <v>241.2616</v>
      </c>
      <c r="Q49" s="11"/>
      <c r="R49" s="47"/>
    </row>
    <row r="50" spans="1:18">
      <c r="A50" s="10">
        <v>44768.9375</v>
      </c>
      <c r="B50" s="36">
        <v>30</v>
      </c>
      <c r="C50" s="11">
        <f t="shared" si="12"/>
        <v>630</v>
      </c>
      <c r="D50" s="33">
        <v>15</v>
      </c>
      <c r="E50" s="34">
        <f t="shared" si="17"/>
        <v>4.41</v>
      </c>
      <c r="F50" s="13">
        <v>4.08</v>
      </c>
      <c r="G50" s="34">
        <f t="shared" si="13"/>
        <v>71.19</v>
      </c>
      <c r="H50">
        <v>0.01</v>
      </c>
      <c r="I50" s="33">
        <v>15</v>
      </c>
      <c r="J50" s="14">
        <f t="shared" si="15"/>
        <v>3.85</v>
      </c>
      <c r="K50" s="34">
        <f t="shared" si="14"/>
        <v>73.2672</v>
      </c>
      <c r="L50" s="33" t="s">
        <v>22</v>
      </c>
      <c r="M50" s="14">
        <v>0.848</v>
      </c>
      <c r="N50" s="14">
        <v>3.8</v>
      </c>
      <c r="O50" s="48">
        <f t="shared" si="16"/>
        <v>242.788</v>
      </c>
      <c r="P50" s="20"/>
      <c r="Q50" s="11"/>
      <c r="R50" s="47"/>
    </row>
    <row r="51" spans="1:18">
      <c r="A51" s="10">
        <v>44768.9583333334</v>
      </c>
      <c r="B51" s="11">
        <v>30</v>
      </c>
      <c r="C51" s="11">
        <f t="shared" si="12"/>
        <v>660</v>
      </c>
      <c r="D51" s="33">
        <v>16</v>
      </c>
      <c r="E51" s="34">
        <f t="shared" si="17"/>
        <v>4.43</v>
      </c>
      <c r="F51" s="13">
        <v>3.64</v>
      </c>
      <c r="G51" s="34">
        <f t="shared" si="13"/>
        <v>74.83</v>
      </c>
      <c r="H51">
        <v>0.02</v>
      </c>
      <c r="I51" s="33">
        <v>16</v>
      </c>
      <c r="J51" s="14">
        <f t="shared" si="15"/>
        <v>3.87</v>
      </c>
      <c r="K51" s="34">
        <f t="shared" si="14"/>
        <v>73.2672</v>
      </c>
      <c r="L51" s="33" t="s">
        <v>22</v>
      </c>
      <c r="M51" s="14">
        <v>0.848</v>
      </c>
      <c r="N51" s="14">
        <v>3.8</v>
      </c>
      <c r="O51" s="48">
        <f t="shared" si="16"/>
        <v>244.3144</v>
      </c>
      <c r="R51" s="47"/>
    </row>
    <row r="52" spans="1:18">
      <c r="A52" s="10">
        <v>44768.9791666667</v>
      </c>
      <c r="B52" s="36">
        <v>30</v>
      </c>
      <c r="C52" s="11">
        <f t="shared" si="12"/>
        <v>690</v>
      </c>
      <c r="D52" s="33">
        <v>17</v>
      </c>
      <c r="E52" s="34">
        <f t="shared" si="17"/>
        <v>4.44</v>
      </c>
      <c r="F52" s="13">
        <v>3.2</v>
      </c>
      <c r="G52" s="34">
        <f t="shared" si="13"/>
        <v>78.03</v>
      </c>
      <c r="H52">
        <v>0.01</v>
      </c>
      <c r="I52" s="33">
        <v>17</v>
      </c>
      <c r="J52" s="14">
        <f t="shared" si="15"/>
        <v>3.88</v>
      </c>
      <c r="K52" s="34">
        <f t="shared" si="14"/>
        <v>73.2672</v>
      </c>
      <c r="L52" s="33" t="s">
        <v>22</v>
      </c>
      <c r="M52" s="14">
        <v>0.848</v>
      </c>
      <c r="N52" s="14">
        <v>3.8</v>
      </c>
      <c r="O52" s="48">
        <f t="shared" si="16"/>
        <v>245.8408</v>
      </c>
      <c r="P52" s="20"/>
      <c r="Q52" s="11"/>
      <c r="R52" s="47"/>
    </row>
    <row r="53" spans="1:18">
      <c r="A53" s="10">
        <v>44769</v>
      </c>
      <c r="B53" s="11">
        <v>30</v>
      </c>
      <c r="C53" s="11">
        <f t="shared" si="12"/>
        <v>720</v>
      </c>
      <c r="D53" s="33">
        <v>18</v>
      </c>
      <c r="E53" s="34">
        <f t="shared" si="17"/>
        <v>4.46</v>
      </c>
      <c r="F53" s="13">
        <v>2.85</v>
      </c>
      <c r="G53" s="34">
        <f t="shared" si="13"/>
        <v>80.88</v>
      </c>
      <c r="H53">
        <v>0.02</v>
      </c>
      <c r="I53" s="33">
        <v>18</v>
      </c>
      <c r="J53" s="14">
        <f t="shared" ref="J53:J60" si="18">J52+H53</f>
        <v>3.9</v>
      </c>
      <c r="K53" s="34">
        <f t="shared" si="14"/>
        <v>73.2672</v>
      </c>
      <c r="L53" s="33" t="s">
        <v>22</v>
      </c>
      <c r="M53" s="14">
        <v>0.848</v>
      </c>
      <c r="N53" s="14">
        <v>3.8</v>
      </c>
      <c r="O53" s="48">
        <f t="shared" si="16"/>
        <v>247.3672</v>
      </c>
      <c r="P53" s="49">
        <v>38</v>
      </c>
      <c r="Q53" s="11">
        <v>18</v>
      </c>
      <c r="R53" s="47"/>
    </row>
    <row r="54" spans="1:18">
      <c r="A54" s="10">
        <v>44769.0208333334</v>
      </c>
      <c r="B54" s="11">
        <v>30</v>
      </c>
      <c r="C54" s="11">
        <f t="shared" si="12"/>
        <v>750</v>
      </c>
      <c r="D54" s="33">
        <v>19</v>
      </c>
      <c r="E54" s="34">
        <f t="shared" si="17"/>
        <v>4.47</v>
      </c>
      <c r="F54" s="13">
        <v>2.54</v>
      </c>
      <c r="G54" s="34">
        <f t="shared" si="13"/>
        <v>83.42</v>
      </c>
      <c r="H54">
        <v>0.01</v>
      </c>
      <c r="I54" s="33">
        <v>19</v>
      </c>
      <c r="J54" s="14">
        <f t="shared" si="18"/>
        <v>3.91</v>
      </c>
      <c r="K54" s="34">
        <f t="shared" si="14"/>
        <v>73.2672</v>
      </c>
      <c r="L54" s="33" t="s">
        <v>22</v>
      </c>
      <c r="M54" s="14">
        <v>0.848</v>
      </c>
      <c r="N54" s="14">
        <v>3.8</v>
      </c>
      <c r="O54" s="48">
        <f t="shared" si="16"/>
        <v>248.8936</v>
      </c>
      <c r="R54" s="47"/>
    </row>
    <row r="55" spans="1:18">
      <c r="A55" s="10">
        <v>44769.0416666667</v>
      </c>
      <c r="B55" s="11">
        <v>30</v>
      </c>
      <c r="C55" s="11">
        <f t="shared" si="12"/>
        <v>780</v>
      </c>
      <c r="D55" s="33">
        <v>20</v>
      </c>
      <c r="E55" s="34">
        <f t="shared" si="17"/>
        <v>4.48</v>
      </c>
      <c r="F55" s="13">
        <v>2.25</v>
      </c>
      <c r="G55" s="34">
        <f t="shared" si="13"/>
        <v>85.67</v>
      </c>
      <c r="H55">
        <v>0.01</v>
      </c>
      <c r="I55" s="33">
        <v>20</v>
      </c>
      <c r="J55" s="14">
        <f t="shared" si="18"/>
        <v>3.92</v>
      </c>
      <c r="K55" s="34">
        <f t="shared" si="14"/>
        <v>73.2672</v>
      </c>
      <c r="L55" s="33" t="s">
        <v>22</v>
      </c>
      <c r="M55" s="14">
        <v>0.848</v>
      </c>
      <c r="N55" s="14">
        <v>3.8</v>
      </c>
      <c r="O55" s="48">
        <f t="shared" si="16"/>
        <v>250.42</v>
      </c>
      <c r="P55" s="20"/>
      <c r="Q55" s="11"/>
      <c r="R55" s="47"/>
    </row>
    <row r="56" spans="1:18">
      <c r="A56" s="10">
        <v>44769.0625</v>
      </c>
      <c r="B56" s="11">
        <v>30</v>
      </c>
      <c r="C56" s="11">
        <f t="shared" si="12"/>
        <v>810</v>
      </c>
      <c r="D56" s="33">
        <v>21</v>
      </c>
      <c r="E56" s="34">
        <f t="shared" si="17"/>
        <v>4.48</v>
      </c>
      <c r="F56" s="13">
        <v>1.9</v>
      </c>
      <c r="G56" s="34">
        <f t="shared" si="13"/>
        <v>87.57</v>
      </c>
      <c r="H56" s="13">
        <v>0</v>
      </c>
      <c r="I56" s="33">
        <v>21</v>
      </c>
      <c r="J56" s="14">
        <f t="shared" si="18"/>
        <v>3.92</v>
      </c>
      <c r="K56" s="34">
        <f t="shared" si="14"/>
        <v>73.2672</v>
      </c>
      <c r="L56" s="33" t="s">
        <v>22</v>
      </c>
      <c r="M56" s="14">
        <v>0.848</v>
      </c>
      <c r="N56" s="14">
        <v>3.8</v>
      </c>
      <c r="O56" s="48">
        <f t="shared" si="16"/>
        <v>251.9464</v>
      </c>
      <c r="P56" s="20"/>
      <c r="Q56" s="11"/>
      <c r="R56" s="47"/>
    </row>
    <row r="57" spans="1:18">
      <c r="A57" s="10">
        <v>44769.0833333334</v>
      </c>
      <c r="B57" s="11">
        <v>30</v>
      </c>
      <c r="C57" s="11">
        <f t="shared" si="12"/>
        <v>840</v>
      </c>
      <c r="D57" s="33">
        <v>22</v>
      </c>
      <c r="E57" s="34">
        <f t="shared" si="17"/>
        <v>4.48</v>
      </c>
      <c r="F57" s="13">
        <v>1.67</v>
      </c>
      <c r="G57" s="34">
        <f t="shared" si="13"/>
        <v>89.24</v>
      </c>
      <c r="H57" s="13">
        <v>0</v>
      </c>
      <c r="I57" s="33">
        <v>22</v>
      </c>
      <c r="J57" s="14">
        <f t="shared" si="18"/>
        <v>3.92</v>
      </c>
      <c r="K57" s="34">
        <f t="shared" si="14"/>
        <v>73.2672</v>
      </c>
      <c r="L57" s="33" t="s">
        <v>22</v>
      </c>
      <c r="M57" s="14">
        <v>0.848</v>
      </c>
      <c r="N57" s="14">
        <v>3.8</v>
      </c>
      <c r="O57" s="48">
        <f t="shared" si="16"/>
        <v>253.4728</v>
      </c>
      <c r="P57" s="20"/>
      <c r="Q57" s="11"/>
      <c r="R57" s="47"/>
    </row>
    <row r="58" spans="1:18">
      <c r="A58" s="10">
        <v>44769.1041666667</v>
      </c>
      <c r="B58" s="11">
        <v>30</v>
      </c>
      <c r="C58" s="11">
        <f t="shared" si="12"/>
        <v>870</v>
      </c>
      <c r="D58" s="33">
        <v>23</v>
      </c>
      <c r="E58" s="34">
        <f t="shared" si="17"/>
        <v>4.48</v>
      </c>
      <c r="F58" s="13">
        <v>1.34</v>
      </c>
      <c r="G58" s="34">
        <f t="shared" si="13"/>
        <v>90.58</v>
      </c>
      <c r="H58" s="13">
        <v>0</v>
      </c>
      <c r="I58" s="33">
        <v>23</v>
      </c>
      <c r="J58" s="14">
        <f t="shared" si="18"/>
        <v>3.92</v>
      </c>
      <c r="K58" s="34">
        <f t="shared" si="14"/>
        <v>73.2672</v>
      </c>
      <c r="L58" s="33" t="s">
        <v>22</v>
      </c>
      <c r="M58" s="14">
        <v>0.848</v>
      </c>
      <c r="N58" s="14">
        <v>3.8</v>
      </c>
      <c r="O58" s="48">
        <f t="shared" si="16"/>
        <v>254.9992</v>
      </c>
      <c r="P58" s="20"/>
      <c r="Q58" s="11"/>
      <c r="R58" s="47"/>
    </row>
    <row r="59" spans="1:17">
      <c r="A59" s="10">
        <v>44769.125</v>
      </c>
      <c r="B59" s="11">
        <v>30</v>
      </c>
      <c r="C59" s="11">
        <f t="shared" si="12"/>
        <v>900</v>
      </c>
      <c r="D59" s="33">
        <v>24</v>
      </c>
      <c r="E59" s="34">
        <f t="shared" si="17"/>
        <v>4.48</v>
      </c>
      <c r="F59" s="13">
        <v>0.95</v>
      </c>
      <c r="G59" s="34">
        <f t="shared" si="13"/>
        <v>91.53</v>
      </c>
      <c r="H59" s="13">
        <v>0</v>
      </c>
      <c r="I59" s="33">
        <v>24</v>
      </c>
      <c r="J59" s="14">
        <f t="shared" si="18"/>
        <v>3.92</v>
      </c>
      <c r="K59" s="34">
        <f t="shared" si="14"/>
        <v>73.2672</v>
      </c>
      <c r="L59" s="33" t="s">
        <v>22</v>
      </c>
      <c r="M59" s="14">
        <v>0.848</v>
      </c>
      <c r="N59" s="14">
        <v>3.8</v>
      </c>
      <c r="O59" s="48">
        <f t="shared" si="16"/>
        <v>256.5256</v>
      </c>
      <c r="P59" s="49">
        <v>40</v>
      </c>
      <c r="Q59" s="11">
        <v>16</v>
      </c>
    </row>
    <row r="60" s="11" customFormat="1" ht="12.75" spans="1:21">
      <c r="A60" s="10">
        <v>44769.1458333334</v>
      </c>
      <c r="B60" s="11">
        <v>30</v>
      </c>
      <c r="C60" s="11">
        <f t="shared" si="12"/>
        <v>930</v>
      </c>
      <c r="D60" s="33">
        <v>25</v>
      </c>
      <c r="E60" s="34">
        <f t="shared" si="17"/>
        <v>4.48</v>
      </c>
      <c r="F60" s="13">
        <v>0.68</v>
      </c>
      <c r="G60" s="34">
        <f t="shared" si="13"/>
        <v>92.21</v>
      </c>
      <c r="H60" s="13">
        <v>0</v>
      </c>
      <c r="I60" s="33">
        <v>25</v>
      </c>
      <c r="J60" s="14">
        <f t="shared" si="18"/>
        <v>3.92</v>
      </c>
      <c r="K60" s="34">
        <f t="shared" si="14"/>
        <v>73.2672</v>
      </c>
      <c r="L60" s="33" t="s">
        <v>22</v>
      </c>
      <c r="M60" s="14">
        <v>0.848</v>
      </c>
      <c r="N60" s="14">
        <v>3.8</v>
      </c>
      <c r="O60" s="48">
        <f t="shared" si="16"/>
        <v>258.052</v>
      </c>
      <c r="P60" s="20"/>
      <c r="R60" s="14"/>
      <c r="S60" s="14"/>
      <c r="T60" s="14"/>
      <c r="U60" s="54"/>
    </row>
    <row r="61" s="11" customFormat="1" spans="1:21">
      <c r="A61" s="10">
        <v>44769.1666666667</v>
      </c>
      <c r="B61" s="11">
        <v>30</v>
      </c>
      <c r="C61" s="11">
        <f t="shared" ref="C61:C93" si="19">B61+C60</f>
        <v>960</v>
      </c>
      <c r="D61" s="33">
        <v>26</v>
      </c>
      <c r="E61" s="34">
        <f t="shared" si="17"/>
        <v>4.48</v>
      </c>
      <c r="F61" s="19"/>
      <c r="G61" s="19"/>
      <c r="H61" s="13">
        <v>0</v>
      </c>
      <c r="I61" s="33"/>
      <c r="J61" s="14">
        <f t="shared" ref="J61:J67" si="20">J60+H61</f>
        <v>3.92</v>
      </c>
      <c r="K61" s="14"/>
      <c r="L61" s="33" t="s">
        <v>22</v>
      </c>
      <c r="M61" s="14">
        <v>0.848</v>
      </c>
      <c r="N61" s="27"/>
      <c r="O61" s="48">
        <f t="shared" si="16"/>
        <v>259.5784</v>
      </c>
      <c r="P61" s="20"/>
      <c r="Q61" s="14"/>
      <c r="R61" s="14"/>
      <c r="S61" s="14"/>
      <c r="T61" s="14"/>
      <c r="U61" s="54"/>
    </row>
    <row r="62" s="11" customFormat="1" spans="1:21">
      <c r="A62" s="10">
        <v>44769.1875</v>
      </c>
      <c r="B62" s="11">
        <v>30</v>
      </c>
      <c r="C62" s="11">
        <f t="shared" si="19"/>
        <v>990</v>
      </c>
      <c r="D62" s="33">
        <v>27</v>
      </c>
      <c r="E62" s="34">
        <f t="shared" si="17"/>
        <v>4.48</v>
      </c>
      <c r="F62" s="19"/>
      <c r="G62" s="19"/>
      <c r="H62" s="13">
        <v>0</v>
      </c>
      <c r="I62" s="33"/>
      <c r="J62" s="14">
        <f t="shared" si="20"/>
        <v>3.92</v>
      </c>
      <c r="K62" s="14"/>
      <c r="L62" s="33" t="s">
        <v>22</v>
      </c>
      <c r="M62" s="14">
        <v>0.848</v>
      </c>
      <c r="N62" s="27"/>
      <c r="O62" s="48">
        <f t="shared" si="16"/>
        <v>261.1048</v>
      </c>
      <c r="P62" s="20"/>
      <c r="Q62" s="14"/>
      <c r="R62" s="14"/>
      <c r="S62" s="14"/>
      <c r="T62" s="14"/>
      <c r="U62" s="54"/>
    </row>
    <row r="63" s="11" customFormat="1" spans="1:21">
      <c r="A63" s="10">
        <v>44769.2083333334</v>
      </c>
      <c r="B63" s="11">
        <v>30</v>
      </c>
      <c r="C63" s="11">
        <f t="shared" si="19"/>
        <v>1020</v>
      </c>
      <c r="D63" s="33">
        <v>28</v>
      </c>
      <c r="E63" s="34">
        <f t="shared" si="17"/>
        <v>4.48</v>
      </c>
      <c r="F63" s="19"/>
      <c r="G63" s="19"/>
      <c r="H63" s="13">
        <v>0</v>
      </c>
      <c r="I63" s="33"/>
      <c r="J63" s="14">
        <f t="shared" si="20"/>
        <v>3.92</v>
      </c>
      <c r="K63" s="14"/>
      <c r="L63" s="33" t="s">
        <v>22</v>
      </c>
      <c r="M63" s="14">
        <v>0.848</v>
      </c>
      <c r="N63" s="27"/>
      <c r="O63" s="48">
        <f t="shared" si="16"/>
        <v>262.6312</v>
      </c>
      <c r="P63" s="20"/>
      <c r="Q63" s="14"/>
      <c r="R63" s="14"/>
      <c r="S63" s="14"/>
      <c r="T63" s="14"/>
      <c r="U63" s="54"/>
    </row>
    <row r="64" s="11" customFormat="1" spans="1:21">
      <c r="A64" s="10">
        <v>44769.2291666667</v>
      </c>
      <c r="B64" s="11">
        <v>30</v>
      </c>
      <c r="C64" s="11">
        <f t="shared" si="19"/>
        <v>1050</v>
      </c>
      <c r="D64" s="33">
        <v>29</v>
      </c>
      <c r="E64" s="34">
        <f t="shared" si="17"/>
        <v>4.48</v>
      </c>
      <c r="F64" s="19"/>
      <c r="G64" s="19"/>
      <c r="H64" s="13">
        <v>0</v>
      </c>
      <c r="I64" s="33"/>
      <c r="J64" s="14">
        <f t="shared" si="20"/>
        <v>3.92</v>
      </c>
      <c r="K64" s="14"/>
      <c r="L64" s="33" t="s">
        <v>22</v>
      </c>
      <c r="M64" s="14">
        <v>0.848</v>
      </c>
      <c r="N64" s="27"/>
      <c r="O64" s="48">
        <f t="shared" si="16"/>
        <v>264.1576</v>
      </c>
      <c r="P64" s="20"/>
      <c r="Q64" s="14"/>
      <c r="R64" s="14"/>
      <c r="S64" s="14"/>
      <c r="T64" s="14"/>
      <c r="U64" s="54"/>
    </row>
    <row r="65" s="11" customFormat="1" spans="1:21">
      <c r="A65" s="10">
        <v>44769.25</v>
      </c>
      <c r="B65" s="11">
        <v>30</v>
      </c>
      <c r="C65" s="11">
        <f t="shared" si="19"/>
        <v>1080</v>
      </c>
      <c r="D65" s="33">
        <v>30</v>
      </c>
      <c r="E65" s="34">
        <f t="shared" si="17"/>
        <v>4.48</v>
      </c>
      <c r="F65" s="19"/>
      <c r="G65" s="19"/>
      <c r="H65" s="13">
        <v>0</v>
      </c>
      <c r="I65" s="33"/>
      <c r="J65" s="14">
        <f t="shared" si="20"/>
        <v>3.92</v>
      </c>
      <c r="K65" s="14"/>
      <c r="L65" s="33" t="s">
        <v>22</v>
      </c>
      <c r="M65" s="14">
        <v>0.848</v>
      </c>
      <c r="N65" s="27"/>
      <c r="O65" s="48">
        <f t="shared" si="16"/>
        <v>265.684</v>
      </c>
      <c r="P65" s="20"/>
      <c r="Q65" s="14"/>
      <c r="R65" s="14"/>
      <c r="S65" s="14"/>
      <c r="T65" s="14"/>
      <c r="U65" s="54"/>
    </row>
    <row r="66" s="11" customFormat="1" spans="1:21">
      <c r="A66" s="10">
        <v>44769.2708333334</v>
      </c>
      <c r="B66" s="11">
        <v>30</v>
      </c>
      <c r="C66" s="11">
        <f t="shared" si="19"/>
        <v>1110</v>
      </c>
      <c r="D66" s="33">
        <v>31</v>
      </c>
      <c r="E66" s="34">
        <f t="shared" si="17"/>
        <v>4.48</v>
      </c>
      <c r="F66" s="19"/>
      <c r="G66" s="19"/>
      <c r="H66" s="13">
        <v>0</v>
      </c>
      <c r="I66" s="33"/>
      <c r="J66" s="14">
        <f t="shared" si="20"/>
        <v>3.92</v>
      </c>
      <c r="K66" s="14"/>
      <c r="L66" s="33" t="s">
        <v>22</v>
      </c>
      <c r="M66" s="14">
        <v>0.848</v>
      </c>
      <c r="N66" s="27"/>
      <c r="O66" s="48">
        <f t="shared" si="16"/>
        <v>267.2104</v>
      </c>
      <c r="P66" s="20"/>
      <c r="Q66" s="14"/>
      <c r="R66" s="14"/>
      <c r="S66" s="14"/>
      <c r="T66" s="14"/>
      <c r="U66" s="54"/>
    </row>
    <row r="67" s="11" customFormat="1" spans="1:21">
      <c r="A67" s="10">
        <v>44769.2916666667</v>
      </c>
      <c r="B67" s="11">
        <v>30</v>
      </c>
      <c r="C67" s="11">
        <f t="shared" si="19"/>
        <v>1140</v>
      </c>
      <c r="D67" s="33">
        <v>32</v>
      </c>
      <c r="E67" s="34">
        <f t="shared" si="17"/>
        <v>4.48</v>
      </c>
      <c r="F67" s="19"/>
      <c r="G67" s="19"/>
      <c r="H67" s="13">
        <v>0</v>
      </c>
      <c r="I67" s="33"/>
      <c r="J67" s="14">
        <f t="shared" si="20"/>
        <v>3.92</v>
      </c>
      <c r="K67" s="14"/>
      <c r="L67" s="33" t="s">
        <v>22</v>
      </c>
      <c r="M67" s="14">
        <v>0.848</v>
      </c>
      <c r="N67" s="27"/>
      <c r="O67" s="48">
        <f t="shared" si="16"/>
        <v>268.7368</v>
      </c>
      <c r="P67" s="20"/>
      <c r="Q67" s="14"/>
      <c r="R67" s="14"/>
      <c r="S67" s="14"/>
      <c r="T67" s="14"/>
      <c r="U67" s="54"/>
    </row>
    <row r="68" s="16" customFormat="1" spans="1:21">
      <c r="A68" s="10">
        <v>44769.2916666667</v>
      </c>
      <c r="B68" s="11">
        <v>0</v>
      </c>
      <c r="C68" s="16">
        <f t="shared" si="19"/>
        <v>1140</v>
      </c>
      <c r="D68" s="29"/>
      <c r="E68" s="34">
        <f t="shared" si="17"/>
        <v>4.46</v>
      </c>
      <c r="F68" s="56"/>
      <c r="G68" s="56" t="e">
        <f>#REF!-F68</f>
        <v>#REF!</v>
      </c>
      <c r="H68" s="31">
        <v>0</v>
      </c>
      <c r="I68" s="29"/>
      <c r="J68" s="30">
        <v>3.9</v>
      </c>
      <c r="K68" s="37">
        <v>0</v>
      </c>
      <c r="L68" s="16" t="s">
        <v>30</v>
      </c>
      <c r="M68" s="30">
        <v>0</v>
      </c>
      <c r="N68" s="46"/>
      <c r="O68" s="48">
        <f t="shared" si="16"/>
        <v>268.7368</v>
      </c>
      <c r="P68" s="50"/>
      <c r="Q68" s="37"/>
      <c r="R68" s="37"/>
      <c r="S68" s="37"/>
      <c r="T68" s="37"/>
      <c r="U68" s="53"/>
    </row>
    <row r="69" s="11" customFormat="1" spans="1:21">
      <c r="A69" s="57">
        <v>44769.2923611111</v>
      </c>
      <c r="B69" s="11">
        <v>1</v>
      </c>
      <c r="C69" s="11">
        <f t="shared" si="19"/>
        <v>1141</v>
      </c>
      <c r="D69" s="33">
        <v>1</v>
      </c>
      <c r="E69" s="34">
        <f t="shared" si="17"/>
        <v>4.83</v>
      </c>
      <c r="F69" s="13">
        <v>3.32</v>
      </c>
      <c r="G69" s="34" t="e">
        <f>#REF!+F69</f>
        <v>#REF!</v>
      </c>
      <c r="H69">
        <v>0.37</v>
      </c>
      <c r="I69" s="33">
        <v>1</v>
      </c>
      <c r="J69" s="14">
        <f>J68+H69</f>
        <v>4.27</v>
      </c>
      <c r="K69" s="34">
        <f t="shared" ref="K69:K93" si="21">M69*86.4</f>
        <v>90.2016</v>
      </c>
      <c r="L69" s="33" t="s">
        <v>22</v>
      </c>
      <c r="M69" s="14">
        <v>1.044</v>
      </c>
      <c r="N69" s="14">
        <v>3.4</v>
      </c>
      <c r="O69" s="48">
        <f t="shared" ref="O69:O98" si="22">M69*B69*60/1000+O68</f>
        <v>268.79944</v>
      </c>
      <c r="P69" s="49">
        <v>41</v>
      </c>
      <c r="Q69" s="11">
        <v>19</v>
      </c>
      <c r="R69" s="14"/>
      <c r="S69" s="14"/>
      <c r="T69" s="14"/>
      <c r="U69" s="54"/>
    </row>
    <row r="70" s="11" customFormat="1" spans="1:21">
      <c r="A70" s="57">
        <v>44769.2930555556</v>
      </c>
      <c r="B70" s="11">
        <v>1</v>
      </c>
      <c r="C70" s="11">
        <f t="shared" si="19"/>
        <v>1142</v>
      </c>
      <c r="D70" s="33">
        <v>2</v>
      </c>
      <c r="E70" s="34">
        <f t="shared" si="17"/>
        <v>5.12</v>
      </c>
      <c r="F70" s="13">
        <v>2.67</v>
      </c>
      <c r="G70" s="34" t="e">
        <f t="shared" ref="G69:G93" si="23">G69+F70</f>
        <v>#REF!</v>
      </c>
      <c r="H70">
        <v>0.29</v>
      </c>
      <c r="I70" s="33">
        <v>2</v>
      </c>
      <c r="J70" s="14">
        <f t="shared" ref="J70:J98" si="24">J69+H70</f>
        <v>4.56</v>
      </c>
      <c r="K70" s="34">
        <f t="shared" si="21"/>
        <v>90.2016</v>
      </c>
      <c r="L70" s="33" t="s">
        <v>22</v>
      </c>
      <c r="M70" s="14">
        <v>1.044</v>
      </c>
      <c r="N70" s="14">
        <v>3.4</v>
      </c>
      <c r="O70" s="48">
        <f t="shared" si="22"/>
        <v>268.86208</v>
      </c>
      <c r="P70" s="49"/>
      <c r="S70" s="14"/>
      <c r="U70" s="54"/>
    </row>
    <row r="71" s="11" customFormat="1" spans="1:21">
      <c r="A71" s="57">
        <v>44769.29375</v>
      </c>
      <c r="B71" s="11">
        <v>1</v>
      </c>
      <c r="C71" s="11">
        <f t="shared" si="19"/>
        <v>1143</v>
      </c>
      <c r="D71" s="33">
        <v>3</v>
      </c>
      <c r="E71" s="34">
        <f t="shared" si="17"/>
        <v>5.33</v>
      </c>
      <c r="F71" s="13">
        <v>2.34</v>
      </c>
      <c r="G71" s="34" t="e">
        <f t="shared" si="23"/>
        <v>#REF!</v>
      </c>
      <c r="H71">
        <v>0.21</v>
      </c>
      <c r="I71" s="33">
        <v>3</v>
      </c>
      <c r="J71" s="14">
        <f t="shared" si="24"/>
        <v>4.77</v>
      </c>
      <c r="K71" s="34">
        <f t="shared" si="21"/>
        <v>90.2016</v>
      </c>
      <c r="L71" s="33" t="s">
        <v>22</v>
      </c>
      <c r="M71" s="14">
        <v>1.044</v>
      </c>
      <c r="N71" s="14">
        <v>3.4</v>
      </c>
      <c r="O71" s="48">
        <f t="shared" si="22"/>
        <v>268.92472</v>
      </c>
      <c r="P71" s="49"/>
      <c r="Q71" s="14"/>
      <c r="S71" s="14"/>
      <c r="U71" s="54"/>
    </row>
    <row r="72" s="11" customFormat="1" spans="1:21">
      <c r="A72" s="57">
        <v>44769.2944444445</v>
      </c>
      <c r="B72" s="11">
        <v>1</v>
      </c>
      <c r="C72" s="11">
        <f t="shared" si="19"/>
        <v>1144</v>
      </c>
      <c r="D72" s="33">
        <v>4</v>
      </c>
      <c r="E72" s="34">
        <f t="shared" si="17"/>
        <v>5.49</v>
      </c>
      <c r="F72" s="13">
        <v>2.05</v>
      </c>
      <c r="G72" s="34" t="e">
        <f t="shared" si="23"/>
        <v>#REF!</v>
      </c>
      <c r="H72">
        <v>0.16</v>
      </c>
      <c r="I72" s="33">
        <v>4</v>
      </c>
      <c r="J72" s="14">
        <f t="shared" si="24"/>
        <v>4.93</v>
      </c>
      <c r="K72" s="34">
        <f t="shared" si="21"/>
        <v>90.2016</v>
      </c>
      <c r="L72" s="33" t="s">
        <v>22</v>
      </c>
      <c r="M72" s="14">
        <v>1.044</v>
      </c>
      <c r="N72" s="14">
        <v>3.4</v>
      </c>
      <c r="O72" s="48">
        <f t="shared" si="22"/>
        <v>268.98736</v>
      </c>
      <c r="P72" s="49"/>
      <c r="S72" s="14"/>
      <c r="U72" s="54"/>
    </row>
    <row r="73" s="11" customFormat="1" spans="1:21">
      <c r="A73" s="57">
        <v>44769.29375</v>
      </c>
      <c r="B73" s="11">
        <v>2</v>
      </c>
      <c r="C73" s="11">
        <f t="shared" si="19"/>
        <v>1146</v>
      </c>
      <c r="D73" s="33">
        <v>5</v>
      </c>
      <c r="E73" s="34">
        <f t="shared" si="17"/>
        <v>5.62</v>
      </c>
      <c r="F73" s="13">
        <v>1.85</v>
      </c>
      <c r="G73" s="34" t="e">
        <f t="shared" si="23"/>
        <v>#REF!</v>
      </c>
      <c r="H73">
        <v>0.13</v>
      </c>
      <c r="I73" s="33">
        <v>5</v>
      </c>
      <c r="J73" s="14">
        <f t="shared" si="24"/>
        <v>5.06</v>
      </c>
      <c r="K73" s="34">
        <f t="shared" si="21"/>
        <v>90.2016</v>
      </c>
      <c r="L73" s="33" t="s">
        <v>22</v>
      </c>
      <c r="M73" s="14">
        <v>1.044</v>
      </c>
      <c r="N73" s="14">
        <v>3.4</v>
      </c>
      <c r="O73" s="48">
        <f t="shared" si="22"/>
        <v>269.11264</v>
      </c>
      <c r="P73" s="49"/>
      <c r="S73" s="14"/>
      <c r="U73" s="54"/>
    </row>
    <row r="74" s="11" customFormat="1" spans="1:21">
      <c r="A74" s="57">
        <v>44769.2972222223</v>
      </c>
      <c r="B74" s="11">
        <v>2</v>
      </c>
      <c r="C74" s="11">
        <f t="shared" si="19"/>
        <v>1148</v>
      </c>
      <c r="D74" s="33">
        <v>6</v>
      </c>
      <c r="E74" s="34">
        <f t="shared" si="17"/>
        <v>5.73</v>
      </c>
      <c r="F74" s="13">
        <v>1.63</v>
      </c>
      <c r="G74" s="34" t="e">
        <f t="shared" si="23"/>
        <v>#REF!</v>
      </c>
      <c r="H74">
        <v>0.11</v>
      </c>
      <c r="I74" s="33">
        <v>6</v>
      </c>
      <c r="J74" s="14">
        <f t="shared" si="24"/>
        <v>5.17</v>
      </c>
      <c r="K74" s="34">
        <f t="shared" si="21"/>
        <v>90.2016</v>
      </c>
      <c r="L74" s="33" t="s">
        <v>22</v>
      </c>
      <c r="M74" s="14">
        <v>1.044</v>
      </c>
      <c r="N74" s="14">
        <v>3.4</v>
      </c>
      <c r="O74" s="48">
        <f t="shared" si="22"/>
        <v>269.23792</v>
      </c>
      <c r="P74" s="49"/>
      <c r="R74" s="14"/>
      <c r="S74" s="14"/>
      <c r="T74" s="14"/>
      <c r="U74" s="54"/>
    </row>
    <row r="75" s="11" customFormat="1" spans="1:21">
      <c r="A75" s="57">
        <v>44769.2986111111</v>
      </c>
      <c r="B75" s="11">
        <v>2</v>
      </c>
      <c r="C75" s="11">
        <f t="shared" si="19"/>
        <v>1150</v>
      </c>
      <c r="D75" s="33">
        <v>7</v>
      </c>
      <c r="E75" s="34">
        <f t="shared" si="17"/>
        <v>5.83</v>
      </c>
      <c r="F75" s="13">
        <v>7.34</v>
      </c>
      <c r="G75" s="34" t="e">
        <f t="shared" si="23"/>
        <v>#REF!</v>
      </c>
      <c r="H75">
        <v>0.1</v>
      </c>
      <c r="I75" s="33">
        <v>7</v>
      </c>
      <c r="J75" s="14">
        <f t="shared" si="24"/>
        <v>5.27</v>
      </c>
      <c r="K75" s="34">
        <f t="shared" si="21"/>
        <v>90.2016</v>
      </c>
      <c r="L75" s="33" t="s">
        <v>22</v>
      </c>
      <c r="M75" s="14">
        <v>1.044</v>
      </c>
      <c r="N75" s="14">
        <v>3.4</v>
      </c>
      <c r="O75" s="48">
        <f t="shared" si="22"/>
        <v>269.3632</v>
      </c>
      <c r="P75" s="49"/>
      <c r="S75" s="14"/>
      <c r="U75" s="54"/>
    </row>
    <row r="76" s="11" customFormat="1" spans="1:21">
      <c r="A76" s="57">
        <v>44769.3020833334</v>
      </c>
      <c r="B76" s="36">
        <v>5</v>
      </c>
      <c r="C76" s="11">
        <f t="shared" si="19"/>
        <v>1155</v>
      </c>
      <c r="D76" s="33">
        <v>8</v>
      </c>
      <c r="E76" s="34">
        <f t="shared" si="17"/>
        <v>5.93</v>
      </c>
      <c r="F76" s="13">
        <v>5.46</v>
      </c>
      <c r="G76" s="34" t="e">
        <f t="shared" si="23"/>
        <v>#REF!</v>
      </c>
      <c r="H76">
        <v>0.1</v>
      </c>
      <c r="I76" s="33">
        <v>8</v>
      </c>
      <c r="J76" s="14">
        <f t="shared" si="24"/>
        <v>5.37</v>
      </c>
      <c r="K76" s="34">
        <f t="shared" si="21"/>
        <v>90.2016</v>
      </c>
      <c r="L76" s="33" t="s">
        <v>22</v>
      </c>
      <c r="M76" s="14">
        <v>1.044</v>
      </c>
      <c r="N76" s="14">
        <v>3.4</v>
      </c>
      <c r="O76" s="48">
        <f t="shared" si="22"/>
        <v>269.6764</v>
      </c>
      <c r="P76" s="49"/>
      <c r="R76" s="47"/>
      <c r="S76" s="14"/>
      <c r="T76" s="14"/>
      <c r="U76" s="54"/>
    </row>
    <row r="77" s="11" customFormat="1" spans="1:21">
      <c r="A77" s="57">
        <v>44769.3055555556</v>
      </c>
      <c r="B77" s="11">
        <v>5</v>
      </c>
      <c r="C77" s="11">
        <f t="shared" si="19"/>
        <v>1160</v>
      </c>
      <c r="D77" s="33">
        <v>9</v>
      </c>
      <c r="E77" s="34">
        <f t="shared" si="17"/>
        <v>6</v>
      </c>
      <c r="F77" s="13">
        <v>3.63</v>
      </c>
      <c r="G77" s="34" t="e">
        <f t="shared" si="23"/>
        <v>#REF!</v>
      </c>
      <c r="H77">
        <v>0.07</v>
      </c>
      <c r="I77" s="33">
        <v>9</v>
      </c>
      <c r="J77" s="14">
        <f t="shared" si="24"/>
        <v>5.44</v>
      </c>
      <c r="K77" s="34">
        <f t="shared" si="21"/>
        <v>90.2016</v>
      </c>
      <c r="L77" s="33" t="s">
        <v>22</v>
      </c>
      <c r="M77" s="14">
        <v>1.044</v>
      </c>
      <c r="N77" s="14">
        <v>3.4</v>
      </c>
      <c r="O77" s="48">
        <f t="shared" si="22"/>
        <v>269.9896</v>
      </c>
      <c r="P77" s="20"/>
      <c r="R77" s="47"/>
      <c r="S77" s="14"/>
      <c r="T77" s="14"/>
      <c r="U77" s="54"/>
    </row>
    <row r="78" s="11" customFormat="1" spans="1:21">
      <c r="A78" s="57">
        <v>44769.3090277778</v>
      </c>
      <c r="B78" s="36">
        <v>5</v>
      </c>
      <c r="C78" s="11">
        <f t="shared" si="19"/>
        <v>1165</v>
      </c>
      <c r="D78" s="33">
        <v>10</v>
      </c>
      <c r="E78" s="34">
        <f t="shared" ref="E78:E109" si="25">0.56+J78</f>
        <v>6.04</v>
      </c>
      <c r="F78" s="13">
        <v>3.05</v>
      </c>
      <c r="G78" s="34" t="e">
        <f t="shared" si="23"/>
        <v>#REF!</v>
      </c>
      <c r="H78">
        <v>0.04</v>
      </c>
      <c r="I78" s="33">
        <v>10</v>
      </c>
      <c r="J78" s="14">
        <f t="shared" si="24"/>
        <v>5.48</v>
      </c>
      <c r="K78" s="34">
        <f t="shared" si="21"/>
        <v>90.2016</v>
      </c>
      <c r="L78" s="33" t="s">
        <v>22</v>
      </c>
      <c r="M78" s="14">
        <v>1.044</v>
      </c>
      <c r="N78" s="14">
        <v>3.4</v>
      </c>
      <c r="O78" s="48">
        <f t="shared" si="22"/>
        <v>270.3028</v>
      </c>
      <c r="P78" s="20"/>
      <c r="R78" s="47"/>
      <c r="S78" s="14"/>
      <c r="T78" s="14"/>
      <c r="U78" s="54"/>
    </row>
    <row r="79" spans="1:18">
      <c r="A79" s="57">
        <v>44769.3125</v>
      </c>
      <c r="B79" s="11">
        <v>5</v>
      </c>
      <c r="C79" s="11">
        <f t="shared" si="19"/>
        <v>1170</v>
      </c>
      <c r="D79" s="33">
        <v>11</v>
      </c>
      <c r="E79" s="34">
        <f t="shared" si="25"/>
        <v>6.06</v>
      </c>
      <c r="F79" s="13">
        <v>2.54</v>
      </c>
      <c r="G79" s="34" t="e">
        <f t="shared" si="23"/>
        <v>#REF!</v>
      </c>
      <c r="H79">
        <v>0.02</v>
      </c>
      <c r="I79" s="33">
        <v>11</v>
      </c>
      <c r="J79" s="14">
        <f t="shared" si="24"/>
        <v>5.5</v>
      </c>
      <c r="K79" s="34">
        <f t="shared" si="21"/>
        <v>90.2016</v>
      </c>
      <c r="L79" s="33" t="s">
        <v>22</v>
      </c>
      <c r="M79" s="14">
        <v>1.044</v>
      </c>
      <c r="N79" s="14">
        <v>3.4</v>
      </c>
      <c r="O79" s="48">
        <f t="shared" si="22"/>
        <v>270.616</v>
      </c>
      <c r="P79" s="49">
        <v>36</v>
      </c>
      <c r="Q79" s="11">
        <v>17</v>
      </c>
      <c r="R79" s="47"/>
    </row>
    <row r="80" spans="1:18">
      <c r="A80" s="57">
        <v>44769.3194444445</v>
      </c>
      <c r="B80" s="11">
        <v>10</v>
      </c>
      <c r="C80" s="11">
        <f t="shared" si="19"/>
        <v>1180</v>
      </c>
      <c r="D80" s="33">
        <v>12</v>
      </c>
      <c r="E80" s="34">
        <f t="shared" si="25"/>
        <v>6.09</v>
      </c>
      <c r="F80" s="13">
        <v>2.32</v>
      </c>
      <c r="G80" s="34" t="e">
        <f t="shared" si="23"/>
        <v>#REF!</v>
      </c>
      <c r="H80">
        <v>0.03</v>
      </c>
      <c r="I80" s="33">
        <v>12</v>
      </c>
      <c r="J80" s="14">
        <f t="shared" si="24"/>
        <v>5.53</v>
      </c>
      <c r="K80" s="34">
        <f t="shared" si="21"/>
        <v>90.2016</v>
      </c>
      <c r="L80" s="33" t="s">
        <v>22</v>
      </c>
      <c r="M80" s="14">
        <v>1.044</v>
      </c>
      <c r="N80" s="14">
        <v>3.4</v>
      </c>
      <c r="O80" s="48">
        <f t="shared" si="22"/>
        <v>271.2424</v>
      </c>
      <c r="P80" s="20"/>
      <c r="Q80" s="11"/>
      <c r="R80" s="47"/>
    </row>
    <row r="81" spans="1:18">
      <c r="A81" s="57">
        <v>44769.3263888889</v>
      </c>
      <c r="B81" s="11">
        <v>10</v>
      </c>
      <c r="C81" s="11">
        <f t="shared" si="19"/>
        <v>1190</v>
      </c>
      <c r="D81" s="33">
        <v>13</v>
      </c>
      <c r="E81" s="34">
        <f t="shared" si="25"/>
        <v>6.1</v>
      </c>
      <c r="F81" s="13">
        <v>2.1</v>
      </c>
      <c r="G81" s="34" t="e">
        <f t="shared" si="23"/>
        <v>#REF!</v>
      </c>
      <c r="H81">
        <v>0.01</v>
      </c>
      <c r="I81" s="33">
        <v>13</v>
      </c>
      <c r="J81" s="14">
        <f t="shared" si="24"/>
        <v>5.54</v>
      </c>
      <c r="K81" s="34">
        <f t="shared" si="21"/>
        <v>90.2016</v>
      </c>
      <c r="L81" s="33" t="s">
        <v>22</v>
      </c>
      <c r="M81" s="14">
        <v>1.044</v>
      </c>
      <c r="N81" s="14">
        <v>3.4</v>
      </c>
      <c r="O81" s="48">
        <f t="shared" si="22"/>
        <v>271.8688</v>
      </c>
      <c r="R81" s="47"/>
    </row>
    <row r="82" spans="1:18">
      <c r="A82" s="10">
        <v>44769.3333333334</v>
      </c>
      <c r="B82" s="36">
        <v>10</v>
      </c>
      <c r="C82" s="11">
        <f t="shared" si="19"/>
        <v>1200</v>
      </c>
      <c r="D82" s="33">
        <v>14</v>
      </c>
      <c r="E82" s="34">
        <f t="shared" si="25"/>
        <v>6.12</v>
      </c>
      <c r="F82" s="13">
        <v>1.83</v>
      </c>
      <c r="G82" s="34" t="e">
        <f t="shared" si="23"/>
        <v>#REF!</v>
      </c>
      <c r="H82">
        <v>0.02</v>
      </c>
      <c r="I82" s="33">
        <v>14</v>
      </c>
      <c r="J82" s="14">
        <f t="shared" si="24"/>
        <v>5.56</v>
      </c>
      <c r="K82" s="34">
        <f t="shared" si="21"/>
        <v>90.2016</v>
      </c>
      <c r="L82" s="33" t="s">
        <v>22</v>
      </c>
      <c r="M82" s="14">
        <v>1.044</v>
      </c>
      <c r="N82" s="14">
        <v>3.4</v>
      </c>
      <c r="O82" s="48">
        <f t="shared" si="22"/>
        <v>272.4952</v>
      </c>
      <c r="Q82" s="11"/>
      <c r="R82" s="47"/>
    </row>
    <row r="83" spans="1:18">
      <c r="A83" s="10">
        <v>44769.3541666667</v>
      </c>
      <c r="B83" s="36">
        <v>30</v>
      </c>
      <c r="C83" s="11">
        <f t="shared" si="19"/>
        <v>1230</v>
      </c>
      <c r="D83" s="33">
        <v>15</v>
      </c>
      <c r="E83" s="34">
        <f t="shared" si="25"/>
        <v>6.13</v>
      </c>
      <c r="F83" s="13">
        <v>1.61</v>
      </c>
      <c r="G83" s="34" t="e">
        <f t="shared" si="23"/>
        <v>#REF!</v>
      </c>
      <c r="H83">
        <v>0.01</v>
      </c>
      <c r="I83" s="33">
        <v>15</v>
      </c>
      <c r="J83" s="14">
        <f t="shared" si="24"/>
        <v>5.57</v>
      </c>
      <c r="K83" s="34">
        <f t="shared" si="21"/>
        <v>90.2016</v>
      </c>
      <c r="L83" s="33" t="s">
        <v>22</v>
      </c>
      <c r="M83" s="14">
        <v>1.044</v>
      </c>
      <c r="N83" s="14">
        <v>3.4</v>
      </c>
      <c r="O83" s="48">
        <f t="shared" si="22"/>
        <v>274.3744</v>
      </c>
      <c r="P83" s="20"/>
      <c r="Q83" s="11"/>
      <c r="R83" s="47"/>
    </row>
    <row r="84" spans="1:18">
      <c r="A84" s="10">
        <v>44769.375</v>
      </c>
      <c r="B84" s="11">
        <v>30</v>
      </c>
      <c r="C84" s="11">
        <f t="shared" si="19"/>
        <v>1260</v>
      </c>
      <c r="D84" s="33">
        <v>16</v>
      </c>
      <c r="E84" s="34">
        <f t="shared" si="25"/>
        <v>6.14</v>
      </c>
      <c r="F84" s="13">
        <v>1.48</v>
      </c>
      <c r="G84" s="34" t="e">
        <f t="shared" si="23"/>
        <v>#REF!</v>
      </c>
      <c r="H84">
        <v>0.01</v>
      </c>
      <c r="I84" s="33">
        <v>16</v>
      </c>
      <c r="J84" s="14">
        <f t="shared" si="24"/>
        <v>5.58</v>
      </c>
      <c r="K84" s="34">
        <f t="shared" si="21"/>
        <v>90.2016</v>
      </c>
      <c r="L84" s="33" t="s">
        <v>22</v>
      </c>
      <c r="M84" s="14">
        <v>1.044</v>
      </c>
      <c r="N84" s="14">
        <v>3.4</v>
      </c>
      <c r="O84" s="48">
        <f t="shared" si="22"/>
        <v>276.2536</v>
      </c>
      <c r="R84" s="47"/>
    </row>
    <row r="85" spans="1:18">
      <c r="A85" s="10">
        <v>44769.3958333334</v>
      </c>
      <c r="B85" s="11">
        <v>30</v>
      </c>
      <c r="C85" s="11">
        <f t="shared" si="19"/>
        <v>1290</v>
      </c>
      <c r="D85" s="33">
        <v>17</v>
      </c>
      <c r="E85" s="34">
        <f t="shared" si="25"/>
        <v>6.15</v>
      </c>
      <c r="F85" s="13">
        <v>1.27</v>
      </c>
      <c r="G85" s="34" t="e">
        <f t="shared" si="23"/>
        <v>#REF!</v>
      </c>
      <c r="H85">
        <v>0.01</v>
      </c>
      <c r="I85" s="33">
        <v>17</v>
      </c>
      <c r="J85" s="14">
        <f t="shared" si="24"/>
        <v>5.59</v>
      </c>
      <c r="K85" s="34">
        <f t="shared" si="21"/>
        <v>90.2016</v>
      </c>
      <c r="L85" s="33" t="s">
        <v>22</v>
      </c>
      <c r="M85" s="14">
        <v>1.044</v>
      </c>
      <c r="N85" s="14">
        <v>3.4</v>
      </c>
      <c r="O85" s="48">
        <f t="shared" si="22"/>
        <v>278.1328</v>
      </c>
      <c r="P85" s="49">
        <v>37</v>
      </c>
      <c r="Q85" s="11">
        <v>16</v>
      </c>
      <c r="R85" s="47"/>
    </row>
    <row r="86" spans="1:18">
      <c r="A86" s="10">
        <v>44769.4166666667</v>
      </c>
      <c r="B86" s="11">
        <v>30</v>
      </c>
      <c r="C86" s="11">
        <f t="shared" si="19"/>
        <v>1320</v>
      </c>
      <c r="D86" s="33">
        <v>18</v>
      </c>
      <c r="E86" s="34">
        <f t="shared" si="25"/>
        <v>6.16</v>
      </c>
      <c r="F86" s="13">
        <v>1.04</v>
      </c>
      <c r="G86" s="34" t="e">
        <f t="shared" si="23"/>
        <v>#REF!</v>
      </c>
      <c r="H86">
        <v>0.01</v>
      </c>
      <c r="I86" s="33">
        <v>18</v>
      </c>
      <c r="J86" s="14">
        <f t="shared" si="24"/>
        <v>5.6</v>
      </c>
      <c r="K86" s="34">
        <f t="shared" si="21"/>
        <v>90.2016</v>
      </c>
      <c r="L86" s="33" t="s">
        <v>22</v>
      </c>
      <c r="M86" s="14">
        <v>1.044</v>
      </c>
      <c r="N86" s="14">
        <v>3.4</v>
      </c>
      <c r="O86" s="48">
        <f t="shared" si="22"/>
        <v>280.012</v>
      </c>
      <c r="P86" s="20"/>
      <c r="Q86" s="11"/>
      <c r="R86" s="47"/>
    </row>
    <row r="87" spans="1:18">
      <c r="A87" s="10">
        <v>44769.4375</v>
      </c>
      <c r="B87" s="11">
        <v>30</v>
      </c>
      <c r="C87" s="11">
        <f t="shared" si="19"/>
        <v>1350</v>
      </c>
      <c r="D87" s="33">
        <v>19</v>
      </c>
      <c r="E87" s="34">
        <f t="shared" si="25"/>
        <v>6.17</v>
      </c>
      <c r="F87" s="13">
        <v>0.87</v>
      </c>
      <c r="G87" s="34" t="e">
        <f t="shared" si="23"/>
        <v>#REF!</v>
      </c>
      <c r="H87">
        <v>0.01</v>
      </c>
      <c r="I87" s="33">
        <v>19</v>
      </c>
      <c r="J87" s="14">
        <f t="shared" si="24"/>
        <v>5.61</v>
      </c>
      <c r="K87" s="34">
        <f t="shared" si="21"/>
        <v>90.2016</v>
      </c>
      <c r="L87" s="33" t="s">
        <v>22</v>
      </c>
      <c r="M87" s="14">
        <v>1.044</v>
      </c>
      <c r="N87" s="14">
        <v>3.4</v>
      </c>
      <c r="O87" s="48">
        <f t="shared" si="22"/>
        <v>281.8912</v>
      </c>
      <c r="R87" s="47"/>
    </row>
    <row r="88" spans="1:18">
      <c r="A88" s="10">
        <v>44769.4583333334</v>
      </c>
      <c r="B88" s="11">
        <v>30</v>
      </c>
      <c r="C88" s="11">
        <f t="shared" si="19"/>
        <v>1380</v>
      </c>
      <c r="D88" s="33">
        <v>20</v>
      </c>
      <c r="E88" s="34">
        <f t="shared" si="25"/>
        <v>6.18</v>
      </c>
      <c r="F88" s="13">
        <v>0.65</v>
      </c>
      <c r="G88" s="34" t="e">
        <f t="shared" si="23"/>
        <v>#REF!</v>
      </c>
      <c r="H88">
        <v>0.01</v>
      </c>
      <c r="I88" s="33">
        <v>20</v>
      </c>
      <c r="J88" s="14">
        <f t="shared" si="24"/>
        <v>5.62</v>
      </c>
      <c r="K88" s="34">
        <f t="shared" si="21"/>
        <v>90.2016</v>
      </c>
      <c r="L88" s="33" t="s">
        <v>22</v>
      </c>
      <c r="M88" s="14">
        <v>1.044</v>
      </c>
      <c r="N88" s="14">
        <v>3.4</v>
      </c>
      <c r="O88" s="48">
        <f t="shared" si="22"/>
        <v>283.7704</v>
      </c>
      <c r="P88" s="20"/>
      <c r="Q88" s="11"/>
      <c r="R88" s="47"/>
    </row>
    <row r="89" spans="1:18">
      <c r="A89" s="10">
        <v>44769.4791666667</v>
      </c>
      <c r="B89" s="11">
        <v>30</v>
      </c>
      <c r="C89" s="11">
        <f t="shared" si="19"/>
        <v>1410</v>
      </c>
      <c r="D89" s="33">
        <v>21</v>
      </c>
      <c r="E89" s="34">
        <f t="shared" si="25"/>
        <v>6.18</v>
      </c>
      <c r="F89" s="13">
        <v>0.37</v>
      </c>
      <c r="G89" s="34" t="e">
        <f t="shared" si="23"/>
        <v>#REF!</v>
      </c>
      <c r="H89" s="13">
        <v>0</v>
      </c>
      <c r="I89" s="33">
        <v>21</v>
      </c>
      <c r="J89" s="14">
        <f t="shared" si="24"/>
        <v>5.62</v>
      </c>
      <c r="K89" s="34">
        <f t="shared" si="21"/>
        <v>90.2016</v>
      </c>
      <c r="L89" s="33" t="s">
        <v>22</v>
      </c>
      <c r="M89" s="14">
        <v>1.044</v>
      </c>
      <c r="N89" s="14">
        <v>3.4</v>
      </c>
      <c r="O89" s="48">
        <f t="shared" si="22"/>
        <v>285.6496</v>
      </c>
      <c r="P89" s="20"/>
      <c r="Q89" s="11"/>
      <c r="R89" s="47"/>
    </row>
    <row r="90" spans="1:18">
      <c r="A90" s="10">
        <v>44769.5</v>
      </c>
      <c r="B90" s="11">
        <v>30</v>
      </c>
      <c r="C90" s="11">
        <f t="shared" si="19"/>
        <v>1440</v>
      </c>
      <c r="D90" s="33">
        <v>22</v>
      </c>
      <c r="E90" s="34">
        <f t="shared" si="25"/>
        <v>6.18</v>
      </c>
      <c r="F90" s="13">
        <v>0.13</v>
      </c>
      <c r="G90" s="34" t="e">
        <f t="shared" si="23"/>
        <v>#REF!</v>
      </c>
      <c r="H90" s="13">
        <v>0</v>
      </c>
      <c r="I90" s="33">
        <v>22</v>
      </c>
      <c r="J90" s="14">
        <f t="shared" si="24"/>
        <v>5.62</v>
      </c>
      <c r="K90" s="34">
        <f t="shared" si="21"/>
        <v>90.2016</v>
      </c>
      <c r="L90" s="33" t="s">
        <v>22</v>
      </c>
      <c r="M90" s="14">
        <v>1.044</v>
      </c>
      <c r="N90" s="14">
        <v>3.4</v>
      </c>
      <c r="O90" s="48">
        <f t="shared" si="22"/>
        <v>287.5288</v>
      </c>
      <c r="P90" s="49">
        <v>37</v>
      </c>
      <c r="Q90" s="11">
        <v>16</v>
      </c>
      <c r="R90" s="47"/>
    </row>
    <row r="91" spans="1:18">
      <c r="A91" s="10">
        <v>44769.5208333334</v>
      </c>
      <c r="B91" s="11">
        <v>30</v>
      </c>
      <c r="C91" s="11">
        <f t="shared" si="19"/>
        <v>1470</v>
      </c>
      <c r="D91" s="33">
        <v>23</v>
      </c>
      <c r="E91" s="34">
        <f t="shared" si="25"/>
        <v>6.18</v>
      </c>
      <c r="F91" s="13">
        <v>0.06</v>
      </c>
      <c r="G91" s="34" t="e">
        <f t="shared" si="23"/>
        <v>#REF!</v>
      </c>
      <c r="H91" s="13">
        <v>0</v>
      </c>
      <c r="I91" s="33">
        <v>23</v>
      </c>
      <c r="J91" s="14">
        <f t="shared" si="24"/>
        <v>5.62</v>
      </c>
      <c r="K91" s="34">
        <f t="shared" si="21"/>
        <v>90.2016</v>
      </c>
      <c r="L91" s="33" t="s">
        <v>22</v>
      </c>
      <c r="M91" s="14">
        <v>1.044</v>
      </c>
      <c r="N91" s="14">
        <v>3.4</v>
      </c>
      <c r="O91" s="48">
        <f t="shared" si="22"/>
        <v>289.408</v>
      </c>
      <c r="P91" s="20"/>
      <c r="Q91" s="11"/>
      <c r="R91" s="47"/>
    </row>
    <row r="92" spans="1:18">
      <c r="A92" s="10">
        <v>44769.5416666667</v>
      </c>
      <c r="B92" s="11">
        <v>30</v>
      </c>
      <c r="C92" s="11">
        <f t="shared" si="19"/>
        <v>1500</v>
      </c>
      <c r="D92" s="33">
        <v>24</v>
      </c>
      <c r="E92" s="34">
        <f t="shared" si="25"/>
        <v>6.18</v>
      </c>
      <c r="F92" s="13">
        <v>0.02</v>
      </c>
      <c r="G92" s="34" t="e">
        <f t="shared" si="23"/>
        <v>#REF!</v>
      </c>
      <c r="H92" s="13">
        <v>0</v>
      </c>
      <c r="I92" s="33">
        <v>24</v>
      </c>
      <c r="J92" s="14">
        <f t="shared" si="24"/>
        <v>5.62</v>
      </c>
      <c r="K92" s="34">
        <f t="shared" si="21"/>
        <v>90.2016</v>
      </c>
      <c r="L92" s="33" t="s">
        <v>22</v>
      </c>
      <c r="M92" s="14">
        <v>1.044</v>
      </c>
      <c r="N92" s="14">
        <v>3.4</v>
      </c>
      <c r="O92" s="48">
        <f t="shared" si="22"/>
        <v>291.2872</v>
      </c>
      <c r="R92" s="47"/>
    </row>
    <row r="93" spans="1:17">
      <c r="A93" s="10">
        <v>44769.5625</v>
      </c>
      <c r="B93" s="11">
        <v>30</v>
      </c>
      <c r="C93" s="11">
        <f t="shared" si="19"/>
        <v>1530</v>
      </c>
      <c r="D93" s="33">
        <v>25</v>
      </c>
      <c r="E93" s="34">
        <f t="shared" si="25"/>
        <v>6.18</v>
      </c>
      <c r="F93" s="13">
        <v>0</v>
      </c>
      <c r="G93" s="34" t="e">
        <f t="shared" si="23"/>
        <v>#REF!</v>
      </c>
      <c r="H93" s="13">
        <v>0</v>
      </c>
      <c r="I93" s="33">
        <v>25</v>
      </c>
      <c r="J93" s="14">
        <f t="shared" si="24"/>
        <v>5.62</v>
      </c>
      <c r="K93" s="34">
        <f t="shared" si="21"/>
        <v>90.2016</v>
      </c>
      <c r="L93" s="33" t="s">
        <v>22</v>
      </c>
      <c r="M93" s="14">
        <v>1.044</v>
      </c>
      <c r="N93" s="14">
        <v>3.4</v>
      </c>
      <c r="O93" s="48">
        <f t="shared" si="22"/>
        <v>293.1664</v>
      </c>
      <c r="P93" s="20"/>
      <c r="Q93" s="11"/>
    </row>
    <row r="94" spans="1:17">
      <c r="A94" s="10">
        <v>44769.5833333334</v>
      </c>
      <c r="B94" s="11">
        <v>30</v>
      </c>
      <c r="C94" s="11">
        <f t="shared" ref="C94:C136" si="26">B94+C93</f>
        <v>1560</v>
      </c>
      <c r="D94" s="33">
        <v>26</v>
      </c>
      <c r="E94" s="34">
        <f t="shared" si="25"/>
        <v>6.18</v>
      </c>
      <c r="F94" s="58"/>
      <c r="G94" s="34"/>
      <c r="H94" s="13">
        <v>0</v>
      </c>
      <c r="I94" s="33"/>
      <c r="J94" s="14">
        <f t="shared" si="24"/>
        <v>5.62</v>
      </c>
      <c r="K94" s="34"/>
      <c r="L94" s="33" t="s">
        <v>22</v>
      </c>
      <c r="M94" s="14">
        <v>1.044</v>
      </c>
      <c r="N94" s="14"/>
      <c r="O94" s="48">
        <f t="shared" si="22"/>
        <v>295.0456</v>
      </c>
      <c r="P94" s="20"/>
      <c r="Q94" s="11"/>
    </row>
    <row r="95" spans="1:17">
      <c r="A95" s="10">
        <v>44769.6041666667</v>
      </c>
      <c r="B95" s="11">
        <v>30</v>
      </c>
      <c r="C95" s="11">
        <f t="shared" si="26"/>
        <v>1590</v>
      </c>
      <c r="D95" s="33">
        <v>27</v>
      </c>
      <c r="E95" s="34">
        <f t="shared" si="25"/>
        <v>6.18</v>
      </c>
      <c r="F95" s="58"/>
      <c r="G95" s="34"/>
      <c r="H95" s="13">
        <v>0</v>
      </c>
      <c r="I95" s="33"/>
      <c r="J95" s="14">
        <f t="shared" si="24"/>
        <v>5.62</v>
      </c>
      <c r="K95" s="34"/>
      <c r="L95" s="33" t="s">
        <v>22</v>
      </c>
      <c r="M95" s="14">
        <v>1.044</v>
      </c>
      <c r="N95" s="14"/>
      <c r="O95" s="48">
        <f t="shared" si="22"/>
        <v>296.9248</v>
      </c>
      <c r="P95" s="20"/>
      <c r="Q95" s="11"/>
    </row>
    <row r="96" spans="1:17">
      <c r="A96" s="10">
        <v>44769.625</v>
      </c>
      <c r="B96" s="11">
        <v>30</v>
      </c>
      <c r="C96" s="11">
        <f t="shared" si="26"/>
        <v>1620</v>
      </c>
      <c r="D96" s="33">
        <v>28</v>
      </c>
      <c r="E96" s="34">
        <f t="shared" si="25"/>
        <v>6.18</v>
      </c>
      <c r="F96" s="58"/>
      <c r="G96" s="34"/>
      <c r="H96" s="13">
        <v>0</v>
      </c>
      <c r="I96" s="33"/>
      <c r="J96" s="14">
        <f t="shared" si="24"/>
        <v>5.62</v>
      </c>
      <c r="K96" s="34"/>
      <c r="L96" s="33" t="s">
        <v>22</v>
      </c>
      <c r="M96" s="14">
        <v>1.044</v>
      </c>
      <c r="N96" s="14"/>
      <c r="O96" s="48">
        <f t="shared" si="22"/>
        <v>298.804</v>
      </c>
      <c r="P96" s="20"/>
      <c r="Q96" s="11"/>
    </row>
    <row r="97" spans="1:17">
      <c r="A97" s="10">
        <v>44769.6458333334</v>
      </c>
      <c r="B97" s="11">
        <v>30</v>
      </c>
      <c r="C97" s="11">
        <f t="shared" si="26"/>
        <v>1650</v>
      </c>
      <c r="D97" s="33">
        <v>29</v>
      </c>
      <c r="E97" s="34">
        <f t="shared" si="25"/>
        <v>6.18</v>
      </c>
      <c r="F97" s="58"/>
      <c r="G97" s="34"/>
      <c r="H97" s="13">
        <v>0</v>
      </c>
      <c r="I97" s="33"/>
      <c r="J97" s="14">
        <f t="shared" si="24"/>
        <v>5.62</v>
      </c>
      <c r="K97" s="34"/>
      <c r="L97" s="33" t="s">
        <v>22</v>
      </c>
      <c r="M97" s="14">
        <v>1.044</v>
      </c>
      <c r="N97" s="14"/>
      <c r="O97" s="48">
        <f t="shared" si="22"/>
        <v>300.6832</v>
      </c>
      <c r="P97" s="20"/>
      <c r="Q97" s="11"/>
    </row>
    <row r="98" spans="1:17">
      <c r="A98" s="10">
        <v>44769.6666666667</v>
      </c>
      <c r="B98" s="11">
        <v>30</v>
      </c>
      <c r="C98" s="11">
        <f t="shared" si="26"/>
        <v>1680</v>
      </c>
      <c r="D98" s="33">
        <v>30</v>
      </c>
      <c r="E98" s="34">
        <f t="shared" si="25"/>
        <v>6.18</v>
      </c>
      <c r="F98" s="58"/>
      <c r="G98" s="34"/>
      <c r="H98" s="13">
        <v>0</v>
      </c>
      <c r="I98" s="33"/>
      <c r="J98" s="14">
        <f t="shared" si="24"/>
        <v>5.62</v>
      </c>
      <c r="K98" s="34"/>
      <c r="L98" s="33" t="s">
        <v>22</v>
      </c>
      <c r="M98" s="14">
        <v>1.044</v>
      </c>
      <c r="N98" s="14"/>
      <c r="O98" s="48">
        <f t="shared" si="22"/>
        <v>302.5624</v>
      </c>
      <c r="P98" s="20"/>
      <c r="Q98" s="11"/>
    </row>
    <row r="99" s="17" customFormat="1" spans="1:20">
      <c r="A99" s="10">
        <v>44769.6666666667</v>
      </c>
      <c r="B99" s="16">
        <v>0</v>
      </c>
      <c r="C99" s="16">
        <f t="shared" si="26"/>
        <v>1680</v>
      </c>
      <c r="D99" s="29"/>
      <c r="E99" s="34">
        <f t="shared" si="25"/>
        <v>6.18</v>
      </c>
      <c r="F99" s="37"/>
      <c r="G99" s="30">
        <v>49.63</v>
      </c>
      <c r="H99" s="31">
        <v>0</v>
      </c>
      <c r="I99" s="31"/>
      <c r="J99" s="30">
        <v>5.62</v>
      </c>
      <c r="K99" s="30"/>
      <c r="L99" s="16" t="s">
        <v>31</v>
      </c>
      <c r="M99" s="30"/>
      <c r="N99" s="46"/>
      <c r="O99" s="43"/>
      <c r="P99" s="50"/>
      <c r="Q99" s="16"/>
      <c r="R99" s="37"/>
      <c r="S99" s="37"/>
      <c r="T99" s="37"/>
    </row>
    <row r="100" spans="1:17">
      <c r="A100" s="57">
        <v>44769.6673611111</v>
      </c>
      <c r="B100" s="11">
        <v>1</v>
      </c>
      <c r="C100" s="11">
        <f t="shared" si="26"/>
        <v>1681</v>
      </c>
      <c r="D100" s="33">
        <v>1</v>
      </c>
      <c r="E100" s="34">
        <f t="shared" si="25"/>
        <v>4.94</v>
      </c>
      <c r="F100" s="14">
        <v>4.15</v>
      </c>
      <c r="G100" s="14">
        <f t="shared" ref="G100:G128" si="27">G99-F100</f>
        <v>45.48</v>
      </c>
      <c r="H100">
        <v>1.24</v>
      </c>
      <c r="I100" s="33">
        <v>1</v>
      </c>
      <c r="J100" s="18">
        <f>J99-H100</f>
        <v>4.38</v>
      </c>
      <c r="K100" s="14"/>
      <c r="L100" s="11" t="s">
        <v>31</v>
      </c>
      <c r="P100" s="20"/>
      <c r="Q100" s="11"/>
    </row>
    <row r="101" spans="1:17">
      <c r="A101" s="10">
        <v>44769.6680555556</v>
      </c>
      <c r="B101" s="11">
        <v>1</v>
      </c>
      <c r="C101" s="11">
        <f t="shared" si="26"/>
        <v>1682</v>
      </c>
      <c r="D101" s="33">
        <v>2</v>
      </c>
      <c r="E101" s="34">
        <f t="shared" si="25"/>
        <v>3.98</v>
      </c>
      <c r="F101" s="14">
        <v>1.9</v>
      </c>
      <c r="G101" s="14">
        <f t="shared" si="27"/>
        <v>43.58</v>
      </c>
      <c r="H101">
        <v>0.96</v>
      </c>
      <c r="I101" s="33">
        <v>2</v>
      </c>
      <c r="J101" s="18">
        <f t="shared" ref="J101:J134" si="28">J100-H101</f>
        <v>3.42</v>
      </c>
      <c r="K101" s="14"/>
      <c r="L101" s="11" t="s">
        <v>31</v>
      </c>
      <c r="P101" s="20"/>
      <c r="Q101" s="11"/>
    </row>
    <row r="102" spans="1:17">
      <c r="A102" s="57">
        <v>44769.66875</v>
      </c>
      <c r="B102" s="11">
        <v>1</v>
      </c>
      <c r="C102" s="11">
        <f t="shared" si="26"/>
        <v>1683</v>
      </c>
      <c r="D102" s="33">
        <v>3</v>
      </c>
      <c r="E102" s="34">
        <f t="shared" si="25"/>
        <v>3.29</v>
      </c>
      <c r="F102" s="14">
        <v>1.65</v>
      </c>
      <c r="G102" s="14">
        <f t="shared" si="27"/>
        <v>41.93</v>
      </c>
      <c r="H102">
        <v>0.69</v>
      </c>
      <c r="I102" s="33">
        <v>3</v>
      </c>
      <c r="J102" s="18">
        <f t="shared" si="28"/>
        <v>2.73</v>
      </c>
      <c r="K102" s="14"/>
      <c r="L102" s="11" t="s">
        <v>31</v>
      </c>
      <c r="P102" s="20"/>
      <c r="Q102" s="11"/>
    </row>
    <row r="103" spans="1:17">
      <c r="A103" s="10">
        <v>44769.6694444445</v>
      </c>
      <c r="B103" s="11">
        <v>1</v>
      </c>
      <c r="C103" s="11">
        <f t="shared" si="26"/>
        <v>1684</v>
      </c>
      <c r="D103" s="33">
        <v>4</v>
      </c>
      <c r="E103" s="34">
        <f t="shared" si="25"/>
        <v>2.77</v>
      </c>
      <c r="F103" s="14">
        <v>1.43</v>
      </c>
      <c r="G103" s="14">
        <f t="shared" si="27"/>
        <v>40.5</v>
      </c>
      <c r="H103">
        <v>0.52</v>
      </c>
      <c r="I103" s="33">
        <v>4</v>
      </c>
      <c r="J103" s="18">
        <f t="shared" si="28"/>
        <v>2.21</v>
      </c>
      <c r="K103" s="14"/>
      <c r="L103" s="11" t="s">
        <v>31</v>
      </c>
      <c r="P103" s="20"/>
      <c r="Q103" s="11"/>
    </row>
    <row r="104" spans="1:17">
      <c r="A104" s="57">
        <v>44769.6708333334</v>
      </c>
      <c r="B104" s="11">
        <v>2</v>
      </c>
      <c r="C104" s="11">
        <f t="shared" si="26"/>
        <v>1686</v>
      </c>
      <c r="D104" s="33">
        <v>5</v>
      </c>
      <c r="E104" s="34">
        <f t="shared" si="25"/>
        <v>2.29</v>
      </c>
      <c r="F104" s="14">
        <v>2.38</v>
      </c>
      <c r="G104" s="14">
        <f t="shared" si="27"/>
        <v>38.12</v>
      </c>
      <c r="H104">
        <v>0.48</v>
      </c>
      <c r="I104" s="33">
        <v>5</v>
      </c>
      <c r="J104" s="18">
        <f t="shared" si="28"/>
        <v>1.73</v>
      </c>
      <c r="K104" s="14"/>
      <c r="L104" s="11" t="s">
        <v>31</v>
      </c>
      <c r="P104" s="20"/>
      <c r="Q104" s="11"/>
    </row>
    <row r="105" spans="1:17">
      <c r="A105" s="10">
        <v>44769.6722222223</v>
      </c>
      <c r="B105" s="11">
        <v>2</v>
      </c>
      <c r="C105" s="11">
        <f t="shared" si="26"/>
        <v>1688</v>
      </c>
      <c r="D105" s="33">
        <v>6</v>
      </c>
      <c r="E105" s="34">
        <f t="shared" si="25"/>
        <v>1.94</v>
      </c>
      <c r="F105" s="14">
        <v>2.17</v>
      </c>
      <c r="G105" s="14">
        <f t="shared" si="27"/>
        <v>35.95</v>
      </c>
      <c r="H105">
        <v>0.35</v>
      </c>
      <c r="I105" s="33">
        <v>6</v>
      </c>
      <c r="J105" s="18">
        <f t="shared" si="28"/>
        <v>1.38</v>
      </c>
      <c r="K105" s="14"/>
      <c r="L105" s="11" t="s">
        <v>31</v>
      </c>
      <c r="P105" s="20"/>
      <c r="Q105" s="11"/>
    </row>
    <row r="106" spans="1:17">
      <c r="A106" s="57">
        <v>44769.6736111111</v>
      </c>
      <c r="B106" s="11">
        <v>2</v>
      </c>
      <c r="C106" s="11">
        <f t="shared" si="26"/>
        <v>1690</v>
      </c>
      <c r="D106" s="33">
        <v>7</v>
      </c>
      <c r="E106" s="34">
        <f t="shared" si="25"/>
        <v>1.7</v>
      </c>
      <c r="F106" s="14">
        <v>2.01</v>
      </c>
      <c r="G106" s="14">
        <f t="shared" si="27"/>
        <v>33.94</v>
      </c>
      <c r="H106">
        <v>0.24</v>
      </c>
      <c r="I106" s="33">
        <v>7</v>
      </c>
      <c r="J106" s="18">
        <f t="shared" si="28"/>
        <v>1.14</v>
      </c>
      <c r="K106" s="14"/>
      <c r="L106" s="11" t="s">
        <v>31</v>
      </c>
      <c r="P106" s="20"/>
      <c r="Q106" s="11"/>
    </row>
    <row r="107" spans="1:17">
      <c r="A107" s="10">
        <v>44769.6770833334</v>
      </c>
      <c r="B107" s="11">
        <v>5</v>
      </c>
      <c r="C107" s="11">
        <f t="shared" si="26"/>
        <v>1695</v>
      </c>
      <c r="D107" s="33">
        <v>8</v>
      </c>
      <c r="E107" s="34">
        <f t="shared" si="25"/>
        <v>1.38</v>
      </c>
      <c r="F107" s="14">
        <v>5.32</v>
      </c>
      <c r="G107" s="14">
        <f t="shared" si="27"/>
        <v>28.62</v>
      </c>
      <c r="H107">
        <v>0.32</v>
      </c>
      <c r="I107" s="33">
        <v>8</v>
      </c>
      <c r="J107" s="18">
        <f t="shared" si="28"/>
        <v>0.82</v>
      </c>
      <c r="K107" s="14"/>
      <c r="L107" s="11" t="s">
        <v>31</v>
      </c>
      <c r="P107" s="20"/>
      <c r="Q107" s="11"/>
    </row>
    <row r="108" spans="1:17">
      <c r="A108" s="57">
        <v>44769.6805555556</v>
      </c>
      <c r="B108" s="11">
        <v>5</v>
      </c>
      <c r="C108" s="11">
        <f t="shared" si="26"/>
        <v>1700</v>
      </c>
      <c r="D108" s="33">
        <v>9</v>
      </c>
      <c r="E108" s="34">
        <f t="shared" si="25"/>
        <v>1.16</v>
      </c>
      <c r="F108" s="14">
        <v>5.05</v>
      </c>
      <c r="G108" s="14">
        <f t="shared" si="27"/>
        <v>23.57</v>
      </c>
      <c r="H108">
        <v>0.22</v>
      </c>
      <c r="I108" s="33">
        <v>9</v>
      </c>
      <c r="J108" s="18">
        <f t="shared" si="28"/>
        <v>0.6</v>
      </c>
      <c r="K108" s="14"/>
      <c r="L108" s="11" t="s">
        <v>31</v>
      </c>
      <c r="P108" s="20"/>
      <c r="Q108" s="11"/>
    </row>
    <row r="109" spans="1:17">
      <c r="A109" s="10">
        <v>44769.6840277778</v>
      </c>
      <c r="B109" s="11">
        <v>5</v>
      </c>
      <c r="C109" s="11">
        <f t="shared" si="26"/>
        <v>1705</v>
      </c>
      <c r="D109" s="33">
        <v>10</v>
      </c>
      <c r="E109" s="34">
        <f t="shared" si="25"/>
        <v>1.03</v>
      </c>
      <c r="F109" s="14">
        <v>4.73</v>
      </c>
      <c r="G109" s="14">
        <f t="shared" si="27"/>
        <v>18.84</v>
      </c>
      <c r="H109">
        <v>0.13</v>
      </c>
      <c r="I109" s="33">
        <v>10</v>
      </c>
      <c r="J109" s="18">
        <f t="shared" si="28"/>
        <v>0.47</v>
      </c>
      <c r="K109" s="14"/>
      <c r="L109" s="11" t="s">
        <v>31</v>
      </c>
      <c r="P109" s="20"/>
      <c r="Q109" s="11"/>
    </row>
    <row r="110" spans="1:17">
      <c r="A110" s="57">
        <v>44769.6875</v>
      </c>
      <c r="B110" s="11">
        <v>5</v>
      </c>
      <c r="C110" s="11">
        <f t="shared" si="26"/>
        <v>1710</v>
      </c>
      <c r="D110" s="33">
        <v>11</v>
      </c>
      <c r="E110" s="34">
        <f t="shared" ref="E110:E136" si="29">0.56+J110</f>
        <v>0.96</v>
      </c>
      <c r="F110" s="14">
        <v>4.15</v>
      </c>
      <c r="G110" s="14">
        <f t="shared" si="27"/>
        <v>14.69</v>
      </c>
      <c r="H110">
        <v>0.07</v>
      </c>
      <c r="I110" s="33">
        <v>11</v>
      </c>
      <c r="J110" s="18">
        <f t="shared" si="28"/>
        <v>0.4</v>
      </c>
      <c r="K110" s="14"/>
      <c r="L110" s="11" t="s">
        <v>31</v>
      </c>
      <c r="P110" s="20"/>
      <c r="Q110" s="11"/>
    </row>
    <row r="111" spans="1:17">
      <c r="A111" s="10">
        <v>44769.6944444445</v>
      </c>
      <c r="B111" s="11">
        <v>10</v>
      </c>
      <c r="C111" s="11">
        <f t="shared" si="26"/>
        <v>1720</v>
      </c>
      <c r="D111" s="33">
        <v>12</v>
      </c>
      <c r="E111" s="34">
        <f t="shared" si="29"/>
        <v>0.87</v>
      </c>
      <c r="F111" s="14">
        <v>2.16</v>
      </c>
      <c r="G111" s="14">
        <f t="shared" si="27"/>
        <v>12.53</v>
      </c>
      <c r="H111">
        <v>0.09</v>
      </c>
      <c r="I111" s="33">
        <v>12</v>
      </c>
      <c r="J111" s="18">
        <f t="shared" si="28"/>
        <v>0.31</v>
      </c>
      <c r="K111" s="14"/>
      <c r="L111" s="11" t="s">
        <v>31</v>
      </c>
      <c r="P111" s="20"/>
      <c r="Q111" s="11"/>
    </row>
    <row r="112" spans="1:17">
      <c r="A112" s="57">
        <v>44769.7013888889</v>
      </c>
      <c r="B112" s="11">
        <v>10</v>
      </c>
      <c r="C112" s="11">
        <f t="shared" si="26"/>
        <v>1730</v>
      </c>
      <c r="D112" s="33">
        <v>13</v>
      </c>
      <c r="E112" s="34">
        <f t="shared" si="29"/>
        <v>0.81</v>
      </c>
      <c r="F112" s="14">
        <v>1.65</v>
      </c>
      <c r="G112" s="14">
        <f t="shared" si="27"/>
        <v>10.88</v>
      </c>
      <c r="H112">
        <v>0.06</v>
      </c>
      <c r="I112" s="33">
        <v>13</v>
      </c>
      <c r="J112" s="18">
        <f t="shared" si="28"/>
        <v>0.25</v>
      </c>
      <c r="K112" s="14"/>
      <c r="L112" s="11" t="s">
        <v>31</v>
      </c>
      <c r="P112" s="20"/>
      <c r="Q112" s="11"/>
    </row>
    <row r="113" spans="1:17">
      <c r="A113" s="10">
        <v>44769.7083333334</v>
      </c>
      <c r="B113" s="11">
        <v>10</v>
      </c>
      <c r="C113" s="11">
        <f t="shared" si="26"/>
        <v>1740</v>
      </c>
      <c r="D113" s="33">
        <v>14</v>
      </c>
      <c r="E113" s="34">
        <f t="shared" si="29"/>
        <v>0.77</v>
      </c>
      <c r="F113" s="14">
        <v>1.34</v>
      </c>
      <c r="G113" s="14">
        <f t="shared" si="27"/>
        <v>9.54</v>
      </c>
      <c r="H113">
        <v>0.04</v>
      </c>
      <c r="I113" s="33">
        <v>14</v>
      </c>
      <c r="J113" s="18">
        <f t="shared" si="28"/>
        <v>0.21</v>
      </c>
      <c r="K113" s="14"/>
      <c r="L113" s="11" t="s">
        <v>31</v>
      </c>
      <c r="P113" s="20"/>
      <c r="Q113" s="11"/>
    </row>
    <row r="114" spans="1:17">
      <c r="A114" s="57">
        <v>44769.7222222223</v>
      </c>
      <c r="B114" s="11">
        <v>20</v>
      </c>
      <c r="C114" s="11">
        <f t="shared" si="26"/>
        <v>1760</v>
      </c>
      <c r="D114" s="33">
        <v>15</v>
      </c>
      <c r="E114" s="34">
        <f t="shared" si="29"/>
        <v>0.73</v>
      </c>
      <c r="F114" s="14">
        <v>2.47</v>
      </c>
      <c r="G114" s="14">
        <f t="shared" si="27"/>
        <v>7.07</v>
      </c>
      <c r="H114">
        <v>0.04</v>
      </c>
      <c r="I114" s="33">
        <v>15</v>
      </c>
      <c r="J114" s="18">
        <f t="shared" si="28"/>
        <v>0.17</v>
      </c>
      <c r="K114" s="14"/>
      <c r="L114" s="11" t="s">
        <v>31</v>
      </c>
      <c r="P114" s="20"/>
      <c r="Q114" s="11"/>
    </row>
    <row r="115" spans="1:17">
      <c r="A115" s="10">
        <v>44769.7361111112</v>
      </c>
      <c r="B115" s="11">
        <v>20</v>
      </c>
      <c r="C115" s="11">
        <f t="shared" si="26"/>
        <v>1780</v>
      </c>
      <c r="D115" s="33">
        <v>16</v>
      </c>
      <c r="E115" s="34">
        <f t="shared" si="29"/>
        <v>0.69</v>
      </c>
      <c r="F115" s="14">
        <v>2.05</v>
      </c>
      <c r="G115" s="14">
        <f t="shared" si="27"/>
        <v>5.02</v>
      </c>
      <c r="H115">
        <v>0.04</v>
      </c>
      <c r="I115" s="33">
        <v>16</v>
      </c>
      <c r="J115" s="18">
        <f t="shared" si="28"/>
        <v>0.13</v>
      </c>
      <c r="K115" s="14"/>
      <c r="L115" s="11" t="s">
        <v>31</v>
      </c>
      <c r="P115" s="20"/>
      <c r="Q115" s="11"/>
    </row>
    <row r="116" spans="1:17">
      <c r="A116" s="57">
        <v>44769.75</v>
      </c>
      <c r="B116" s="11">
        <v>20</v>
      </c>
      <c r="C116" s="11">
        <f t="shared" si="26"/>
        <v>1800</v>
      </c>
      <c r="D116" s="33">
        <v>17</v>
      </c>
      <c r="E116" s="34">
        <f t="shared" si="29"/>
        <v>0.67</v>
      </c>
      <c r="F116" s="14">
        <v>1.38</v>
      </c>
      <c r="G116" s="14">
        <f t="shared" si="27"/>
        <v>3.64</v>
      </c>
      <c r="H116">
        <v>0.02</v>
      </c>
      <c r="I116" s="33">
        <v>17</v>
      </c>
      <c r="J116" s="18">
        <f t="shared" si="28"/>
        <v>0.11</v>
      </c>
      <c r="K116" s="14"/>
      <c r="L116" s="11" t="s">
        <v>31</v>
      </c>
      <c r="P116" s="20"/>
      <c r="Q116" s="11"/>
    </row>
    <row r="117" spans="1:17">
      <c r="A117" s="10">
        <v>44769.7708333334</v>
      </c>
      <c r="B117" s="11">
        <v>30</v>
      </c>
      <c r="C117" s="11">
        <f t="shared" si="26"/>
        <v>1830</v>
      </c>
      <c r="D117" s="33">
        <v>18</v>
      </c>
      <c r="E117" s="34">
        <f t="shared" si="29"/>
        <v>0.63</v>
      </c>
      <c r="F117" s="14">
        <v>0.83</v>
      </c>
      <c r="G117" s="14">
        <f t="shared" si="27"/>
        <v>2.81</v>
      </c>
      <c r="H117">
        <v>0.04</v>
      </c>
      <c r="I117" s="33">
        <v>18</v>
      </c>
      <c r="J117" s="18">
        <f t="shared" si="28"/>
        <v>0.0699999999999998</v>
      </c>
      <c r="K117" s="14"/>
      <c r="L117" s="11" t="s">
        <v>31</v>
      </c>
      <c r="P117" s="20"/>
      <c r="Q117" s="11"/>
    </row>
    <row r="118" spans="1:17">
      <c r="A118" s="57">
        <v>44769.7916666667</v>
      </c>
      <c r="B118" s="11">
        <v>30</v>
      </c>
      <c r="C118" s="11">
        <f t="shared" si="26"/>
        <v>1860</v>
      </c>
      <c r="D118" s="33">
        <v>19</v>
      </c>
      <c r="E118" s="34">
        <f t="shared" si="29"/>
        <v>0.61</v>
      </c>
      <c r="F118" s="14">
        <v>0.57</v>
      </c>
      <c r="G118" s="14">
        <f t="shared" si="27"/>
        <v>2.24</v>
      </c>
      <c r="H118">
        <v>0.02</v>
      </c>
      <c r="I118" s="33">
        <v>19</v>
      </c>
      <c r="J118" s="18">
        <f t="shared" si="28"/>
        <v>0.0499999999999998</v>
      </c>
      <c r="K118" s="14"/>
      <c r="L118" s="11" t="s">
        <v>31</v>
      </c>
      <c r="P118" s="20"/>
      <c r="Q118" s="11"/>
    </row>
    <row r="119" spans="1:17">
      <c r="A119" s="10">
        <v>44769.8125</v>
      </c>
      <c r="B119" s="11">
        <v>30</v>
      </c>
      <c r="C119" s="11">
        <f t="shared" si="26"/>
        <v>1890</v>
      </c>
      <c r="D119" s="33">
        <v>20</v>
      </c>
      <c r="E119" s="34">
        <f t="shared" si="29"/>
        <v>0.59</v>
      </c>
      <c r="F119" s="14">
        <v>0.38</v>
      </c>
      <c r="G119" s="14">
        <f t="shared" si="27"/>
        <v>1.86</v>
      </c>
      <c r="H119">
        <v>0.02</v>
      </c>
      <c r="I119" s="33">
        <v>20</v>
      </c>
      <c r="J119" s="18">
        <f t="shared" si="28"/>
        <v>0.0299999999999998</v>
      </c>
      <c r="K119" s="14"/>
      <c r="L119" s="11" t="s">
        <v>31</v>
      </c>
      <c r="P119" s="20"/>
      <c r="Q119" s="11"/>
    </row>
    <row r="120" spans="1:17">
      <c r="A120" s="57">
        <v>44769.8333333334</v>
      </c>
      <c r="B120" s="11">
        <v>30</v>
      </c>
      <c r="C120" s="11">
        <f t="shared" si="26"/>
        <v>1920</v>
      </c>
      <c r="D120" s="33">
        <v>21</v>
      </c>
      <c r="E120" s="34">
        <f t="shared" si="29"/>
        <v>0.59</v>
      </c>
      <c r="F120" s="14">
        <v>0.26</v>
      </c>
      <c r="G120" s="14">
        <f t="shared" si="27"/>
        <v>1.6</v>
      </c>
      <c r="H120" s="13">
        <v>0</v>
      </c>
      <c r="I120" s="33">
        <v>21</v>
      </c>
      <c r="J120" s="18">
        <f t="shared" si="28"/>
        <v>0.0299999999999998</v>
      </c>
      <c r="K120" s="14"/>
      <c r="L120" s="11" t="s">
        <v>31</v>
      </c>
      <c r="P120" s="20"/>
      <c r="Q120" s="11"/>
    </row>
    <row r="121" spans="1:17">
      <c r="A121" s="10">
        <v>44769.8541666667</v>
      </c>
      <c r="B121" s="11">
        <v>30</v>
      </c>
      <c r="C121" s="11">
        <f t="shared" si="26"/>
        <v>1950</v>
      </c>
      <c r="D121" s="33">
        <v>22</v>
      </c>
      <c r="E121" s="34">
        <f t="shared" si="29"/>
        <v>0.58</v>
      </c>
      <c r="F121" s="14">
        <v>0.22</v>
      </c>
      <c r="G121" s="14">
        <f t="shared" si="27"/>
        <v>1.38</v>
      </c>
      <c r="H121" s="13">
        <v>0.01</v>
      </c>
      <c r="I121" s="33">
        <v>22</v>
      </c>
      <c r="J121" s="18">
        <f t="shared" si="28"/>
        <v>0.0199999999999998</v>
      </c>
      <c r="K121" s="14"/>
      <c r="L121" s="11" t="s">
        <v>31</v>
      </c>
      <c r="P121" s="20"/>
      <c r="Q121" s="11"/>
    </row>
    <row r="122" spans="1:17">
      <c r="A122" s="57">
        <v>44769.875</v>
      </c>
      <c r="B122" s="11">
        <v>30</v>
      </c>
      <c r="C122" s="11">
        <f t="shared" si="26"/>
        <v>1980</v>
      </c>
      <c r="D122" s="33">
        <v>23</v>
      </c>
      <c r="E122" s="34">
        <f t="shared" si="29"/>
        <v>0.57</v>
      </c>
      <c r="F122" s="14">
        <v>0.2</v>
      </c>
      <c r="G122" s="14">
        <f t="shared" si="27"/>
        <v>1.18</v>
      </c>
      <c r="H122" s="13">
        <v>0.01</v>
      </c>
      <c r="I122" s="33">
        <v>23</v>
      </c>
      <c r="J122" s="59">
        <f t="shared" si="28"/>
        <v>0.00999999999999981</v>
      </c>
      <c r="K122" s="14"/>
      <c r="L122" s="11" t="s">
        <v>31</v>
      </c>
      <c r="P122" s="20"/>
      <c r="Q122" s="11"/>
    </row>
    <row r="123" spans="1:17">
      <c r="A123" s="10">
        <v>44769.8958333334</v>
      </c>
      <c r="B123" s="11">
        <v>30</v>
      </c>
      <c r="C123" s="11">
        <f t="shared" si="26"/>
        <v>2010</v>
      </c>
      <c r="D123" s="33">
        <v>24</v>
      </c>
      <c r="E123" s="34">
        <f t="shared" si="29"/>
        <v>0.56</v>
      </c>
      <c r="F123" s="14">
        <v>0.19</v>
      </c>
      <c r="G123" s="14">
        <f t="shared" si="27"/>
        <v>0.990000000000003</v>
      </c>
      <c r="H123" s="13">
        <v>0.01</v>
      </c>
      <c r="I123" s="33">
        <v>24</v>
      </c>
      <c r="J123" s="18">
        <v>0</v>
      </c>
      <c r="K123" s="14"/>
      <c r="L123" s="11" t="s">
        <v>31</v>
      </c>
      <c r="P123" s="20"/>
      <c r="Q123" s="11"/>
    </row>
    <row r="124" spans="1:17">
      <c r="A124" s="57">
        <v>44769.9166666667</v>
      </c>
      <c r="B124" s="11">
        <v>30</v>
      </c>
      <c r="C124" s="11">
        <f t="shared" si="26"/>
        <v>2040</v>
      </c>
      <c r="D124" s="33">
        <v>25</v>
      </c>
      <c r="E124" s="34">
        <f t="shared" si="29"/>
        <v>0.56</v>
      </c>
      <c r="F124" s="14">
        <v>0.17</v>
      </c>
      <c r="G124" s="14">
        <f t="shared" si="27"/>
        <v>0.820000000000003</v>
      </c>
      <c r="H124" s="13">
        <v>0</v>
      </c>
      <c r="I124" s="33">
        <v>25</v>
      </c>
      <c r="J124" s="18">
        <v>0</v>
      </c>
      <c r="K124" s="14"/>
      <c r="L124" s="11" t="s">
        <v>31</v>
      </c>
      <c r="P124" s="20"/>
      <c r="Q124" s="11"/>
    </row>
    <row r="125" spans="1:17">
      <c r="A125" s="10">
        <v>44769.9375</v>
      </c>
      <c r="B125" s="11">
        <v>30</v>
      </c>
      <c r="C125" s="11">
        <f t="shared" si="26"/>
        <v>2070</v>
      </c>
      <c r="D125" s="33">
        <v>26</v>
      </c>
      <c r="E125" s="34">
        <f t="shared" si="29"/>
        <v>0.56</v>
      </c>
      <c r="F125" s="14">
        <v>0.16</v>
      </c>
      <c r="G125" s="14">
        <f t="shared" si="27"/>
        <v>0.660000000000003</v>
      </c>
      <c r="H125" s="13">
        <v>0.01</v>
      </c>
      <c r="I125" s="33">
        <v>26</v>
      </c>
      <c r="J125" s="18">
        <v>0</v>
      </c>
      <c r="K125" s="14"/>
      <c r="L125" s="11" t="s">
        <v>31</v>
      </c>
      <c r="P125" s="20"/>
      <c r="Q125" s="11"/>
    </row>
    <row r="126" spans="1:17">
      <c r="A126" s="57">
        <v>44769.9583333334</v>
      </c>
      <c r="B126" s="11">
        <v>30</v>
      </c>
      <c r="C126" s="11">
        <f t="shared" si="26"/>
        <v>2100</v>
      </c>
      <c r="D126" s="33">
        <v>27</v>
      </c>
      <c r="E126" s="34">
        <f t="shared" si="29"/>
        <v>0.56</v>
      </c>
      <c r="F126" s="14">
        <v>0.14</v>
      </c>
      <c r="G126" s="14">
        <f t="shared" si="27"/>
        <v>0.520000000000003</v>
      </c>
      <c r="H126" s="13">
        <v>0</v>
      </c>
      <c r="I126" s="33">
        <v>27</v>
      </c>
      <c r="J126" s="18">
        <f t="shared" ref="J125:J136" si="30">J125-H126</f>
        <v>0</v>
      </c>
      <c r="K126" s="14"/>
      <c r="L126" s="11" t="s">
        <v>31</v>
      </c>
      <c r="P126" s="20"/>
      <c r="Q126" s="11"/>
    </row>
    <row r="127" spans="1:17">
      <c r="A127" s="10">
        <v>44769.9791666667</v>
      </c>
      <c r="B127" s="11">
        <v>30</v>
      </c>
      <c r="C127" s="11">
        <f t="shared" si="26"/>
        <v>2130</v>
      </c>
      <c r="D127" s="33">
        <v>28</v>
      </c>
      <c r="E127" s="34">
        <f t="shared" si="29"/>
        <v>0.56</v>
      </c>
      <c r="F127" s="14">
        <v>0.12</v>
      </c>
      <c r="G127" s="14">
        <f t="shared" si="27"/>
        <v>0.400000000000003</v>
      </c>
      <c r="H127" s="13">
        <v>0</v>
      </c>
      <c r="I127" s="33">
        <v>28</v>
      </c>
      <c r="J127" s="18">
        <f t="shared" si="30"/>
        <v>0</v>
      </c>
      <c r="K127" s="14"/>
      <c r="L127" s="11" t="s">
        <v>31</v>
      </c>
      <c r="P127" s="20"/>
      <c r="Q127" s="11"/>
    </row>
    <row r="128" spans="1:17">
      <c r="A128" s="57">
        <v>44770</v>
      </c>
      <c r="B128" s="11">
        <v>30</v>
      </c>
      <c r="C128" s="11">
        <f t="shared" si="26"/>
        <v>2160</v>
      </c>
      <c r="D128" s="33">
        <v>29</v>
      </c>
      <c r="E128" s="34">
        <f t="shared" si="29"/>
        <v>0.56</v>
      </c>
      <c r="F128" s="14">
        <v>0.109999999999999</v>
      </c>
      <c r="G128" s="14">
        <f t="shared" si="27"/>
        <v>0.290000000000004</v>
      </c>
      <c r="H128" s="13">
        <v>0</v>
      </c>
      <c r="I128" s="33">
        <v>29</v>
      </c>
      <c r="J128" s="18">
        <f t="shared" si="30"/>
        <v>0</v>
      </c>
      <c r="K128" s="14"/>
      <c r="L128" s="11" t="s">
        <v>31</v>
      </c>
      <c r="P128" s="20"/>
      <c r="Q128" s="11"/>
    </row>
    <row r="129" spans="1:12">
      <c r="A129" s="10">
        <v>44770.0208333334</v>
      </c>
      <c r="B129" s="11">
        <v>30</v>
      </c>
      <c r="C129" s="11">
        <f t="shared" si="26"/>
        <v>2190</v>
      </c>
      <c r="D129" s="33">
        <v>30</v>
      </c>
      <c r="E129" s="34">
        <f t="shared" si="29"/>
        <v>0.56</v>
      </c>
      <c r="H129" s="13">
        <v>0</v>
      </c>
      <c r="J129" s="18">
        <f t="shared" si="30"/>
        <v>0</v>
      </c>
      <c r="L129" s="11" t="s">
        <v>31</v>
      </c>
    </row>
    <row r="130" spans="1:12">
      <c r="A130" s="57">
        <v>44770.0416666667</v>
      </c>
      <c r="B130" s="11">
        <v>30</v>
      </c>
      <c r="C130" s="11">
        <f t="shared" si="26"/>
        <v>2220</v>
      </c>
      <c r="D130" s="33">
        <v>31</v>
      </c>
      <c r="E130" s="34">
        <f t="shared" si="29"/>
        <v>0.56</v>
      </c>
      <c r="H130" s="13">
        <v>0</v>
      </c>
      <c r="J130" s="18">
        <f t="shared" si="30"/>
        <v>0</v>
      </c>
      <c r="L130" s="11" t="s">
        <v>31</v>
      </c>
    </row>
    <row r="131" spans="1:12">
      <c r="A131" s="10">
        <v>44770.0625</v>
      </c>
      <c r="B131" s="11">
        <v>30</v>
      </c>
      <c r="C131" s="11">
        <f t="shared" si="26"/>
        <v>2250</v>
      </c>
      <c r="D131" s="33">
        <v>32</v>
      </c>
      <c r="E131" s="34">
        <f t="shared" si="29"/>
        <v>0.56</v>
      </c>
      <c r="H131" s="13">
        <v>0</v>
      </c>
      <c r="J131" s="18">
        <f t="shared" si="30"/>
        <v>0</v>
      </c>
      <c r="L131" s="11" t="s">
        <v>31</v>
      </c>
    </row>
    <row r="132" spans="1:12">
      <c r="A132" s="57">
        <v>44770.0833333334</v>
      </c>
      <c r="B132" s="11">
        <v>30</v>
      </c>
      <c r="C132" s="11">
        <f t="shared" si="26"/>
        <v>2280</v>
      </c>
      <c r="D132" s="33">
        <v>33</v>
      </c>
      <c r="E132" s="34">
        <f t="shared" si="29"/>
        <v>0.56</v>
      </c>
      <c r="H132" s="13">
        <v>0</v>
      </c>
      <c r="J132" s="18">
        <f t="shared" si="30"/>
        <v>0</v>
      </c>
      <c r="L132" s="11" t="s">
        <v>31</v>
      </c>
    </row>
    <row r="133" spans="1:12">
      <c r="A133" s="10">
        <v>44770.1041666667</v>
      </c>
      <c r="B133" s="11">
        <v>30</v>
      </c>
      <c r="C133" s="11">
        <f t="shared" si="26"/>
        <v>2310</v>
      </c>
      <c r="D133" s="33">
        <v>34</v>
      </c>
      <c r="E133" s="34">
        <f t="shared" si="29"/>
        <v>0.56</v>
      </c>
      <c r="H133" s="13">
        <v>0</v>
      </c>
      <c r="J133" s="18">
        <f t="shared" si="30"/>
        <v>0</v>
      </c>
      <c r="L133" s="11" t="s">
        <v>31</v>
      </c>
    </row>
    <row r="134" spans="1:12">
      <c r="A134" s="57">
        <v>44770.125</v>
      </c>
      <c r="B134" s="11">
        <v>30</v>
      </c>
      <c r="C134" s="11">
        <f t="shared" si="26"/>
        <v>2340</v>
      </c>
      <c r="D134" s="33">
        <v>35</v>
      </c>
      <c r="E134" s="34">
        <f t="shared" si="29"/>
        <v>0.56</v>
      </c>
      <c r="H134" s="13">
        <v>0</v>
      </c>
      <c r="J134" s="18">
        <f t="shared" si="30"/>
        <v>0</v>
      </c>
      <c r="L134" s="11" t="s">
        <v>31</v>
      </c>
    </row>
    <row r="135" spans="1:12">
      <c r="A135" s="10">
        <v>44770.1458333334</v>
      </c>
      <c r="B135" s="11">
        <v>30</v>
      </c>
      <c r="C135" s="11">
        <f t="shared" si="26"/>
        <v>2370</v>
      </c>
      <c r="D135" s="33">
        <v>36</v>
      </c>
      <c r="E135" s="34">
        <f t="shared" si="29"/>
        <v>0.56</v>
      </c>
      <c r="H135" s="13">
        <v>0</v>
      </c>
      <c r="J135" s="18">
        <f t="shared" si="30"/>
        <v>0</v>
      </c>
      <c r="L135" s="11" t="s">
        <v>31</v>
      </c>
    </row>
    <row r="136" spans="1:12">
      <c r="A136" s="57">
        <v>44770.1666666667</v>
      </c>
      <c r="B136" s="11">
        <v>30</v>
      </c>
      <c r="C136" s="11">
        <f t="shared" si="26"/>
        <v>2400</v>
      </c>
      <c r="D136" s="33">
        <v>37</v>
      </c>
      <c r="E136" s="34">
        <f t="shared" si="29"/>
        <v>0.56</v>
      </c>
      <c r="H136" s="13">
        <v>0</v>
      </c>
      <c r="J136" s="18">
        <f t="shared" si="30"/>
        <v>0</v>
      </c>
      <c r="L136" s="11" t="s">
        <v>31</v>
      </c>
    </row>
  </sheetData>
  <mergeCells count="7">
    <mergeCell ref="A2:A3"/>
    <mergeCell ref="L2:L3"/>
    <mergeCell ref="N2:N3"/>
    <mergeCell ref="P2:P3"/>
    <mergeCell ref="Q2:Q3"/>
    <mergeCell ref="R2:R3"/>
    <mergeCell ref="S2:S3"/>
  </mergeCells>
  <pageMargins left="0.747916666666667" right="0.747916666666667" top="0.984027777777778" bottom="0.984027777777778" header="0.511805555555556" footer="0.511805555555556"/>
  <pageSetup paperSize="9" orientation="landscape" horizontalDpi="600" vertic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N27:Q46"/>
  <sheetViews>
    <sheetView tabSelected="1" topLeftCell="A73" workbookViewId="0">
      <selection activeCell="J100" sqref="J100"/>
    </sheetView>
  </sheetViews>
  <sheetFormatPr defaultColWidth="9" defaultRowHeight="14.25"/>
  <cols>
    <col min="15" max="17" width="9" style="15"/>
  </cols>
  <sheetData>
    <row r="27" spans="14:16">
      <c r="N27" s="14"/>
      <c r="O27" s="14"/>
      <c r="P27" s="14"/>
    </row>
    <row r="28" spans="14:16">
      <c r="N28" s="14"/>
      <c r="O28" s="14"/>
      <c r="P28" s="14"/>
    </row>
    <row r="29" spans="14:16">
      <c r="N29" s="14"/>
      <c r="O29" s="14"/>
      <c r="P29" s="14"/>
    </row>
    <row r="30" spans="14:16">
      <c r="N30" s="14"/>
      <c r="O30" s="14"/>
      <c r="P30" s="14"/>
    </row>
    <row r="31" spans="14:16">
      <c r="N31" s="14"/>
      <c r="O31" s="14"/>
      <c r="P31" s="14"/>
    </row>
    <row r="32" spans="14:16">
      <c r="N32" s="14"/>
      <c r="O32" s="14"/>
      <c r="P32" s="14"/>
    </row>
    <row r="34" spans="15:17">
      <c r="O34" s="14"/>
      <c r="P34" s="14"/>
      <c r="Q34" s="14"/>
    </row>
    <row r="35" spans="15:17">
      <c r="O35" s="14"/>
      <c r="P35" s="14"/>
      <c r="Q35" s="14"/>
    </row>
    <row r="36" spans="15:17">
      <c r="O36" s="14"/>
      <c r="P36" s="14"/>
      <c r="Q36" s="14"/>
    </row>
    <row r="42" spans="15:17">
      <c r="O42" s="14"/>
      <c r="P42" s="14"/>
      <c r="Q42" s="14"/>
    </row>
    <row r="43" spans="15:17">
      <c r="O43" s="14"/>
      <c r="P43" s="14"/>
      <c r="Q43" s="14"/>
    </row>
    <row r="44" spans="15:17">
      <c r="O44" s="14"/>
      <c r="P44" s="14"/>
      <c r="Q44" s="14"/>
    </row>
    <row r="45" spans="15:17">
      <c r="O45" s="14"/>
      <c r="P45" s="14"/>
      <c r="Q45" s="14"/>
    </row>
    <row r="46" spans="17:17">
      <c r="Q46"/>
    </row>
  </sheetData>
  <pageMargins left="0.747916666666667" right="0.747916666666667" top="0.984027777777778" bottom="0.984027777777778" header="0.511805555555556" footer="0.511805555555556"/>
  <pageSetup paperSize="9" orientation="landscape" horizontalDpi="600" verticalDpi="6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7"/>
  <sheetViews>
    <sheetView workbookViewId="0">
      <selection activeCell="I4" sqref="I4:I23"/>
    </sheetView>
  </sheetViews>
  <sheetFormatPr defaultColWidth="9" defaultRowHeight="14.25"/>
  <cols>
    <col min="1" max="1" width="13.75" customWidth="1"/>
    <col min="4" max="4" width="7.125" style="8" customWidth="1"/>
    <col min="7" max="9" width="12.625"/>
  </cols>
  <sheetData>
    <row r="1" ht="24" spans="1:5">
      <c r="A1" s="9" t="s">
        <v>1</v>
      </c>
      <c r="B1" s="9" t="s">
        <v>2</v>
      </c>
      <c r="C1" s="9" t="s">
        <v>3</v>
      </c>
      <c r="D1" s="9" t="s">
        <v>3</v>
      </c>
      <c r="E1" s="9" t="s">
        <v>5</v>
      </c>
    </row>
    <row r="2" spans="1:5">
      <c r="A2" s="9"/>
      <c r="B2" s="9" t="s">
        <v>15</v>
      </c>
      <c r="C2" s="9" t="s">
        <v>15</v>
      </c>
      <c r="D2" s="9" t="s">
        <v>32</v>
      </c>
      <c r="E2" s="9" t="s">
        <v>16</v>
      </c>
    </row>
    <row r="3" spans="1:5">
      <c r="A3" s="10">
        <v>44061.7291666667</v>
      </c>
      <c r="B3" s="11">
        <v>0</v>
      </c>
      <c r="C3" s="11">
        <v>0</v>
      </c>
      <c r="D3" s="12">
        <v>0</v>
      </c>
      <c r="E3" s="13">
        <v>0.3</v>
      </c>
    </row>
    <row r="4" spans="1:9">
      <c r="A4" s="10">
        <v>44061.7298611111</v>
      </c>
      <c r="B4" s="11">
        <v>1</v>
      </c>
      <c r="C4" s="11">
        <f t="shared" ref="C4:C10" si="0">B4+C3</f>
        <v>1</v>
      </c>
      <c r="D4" s="12">
        <f t="shared" ref="D4:D11" si="1">C4/60</f>
        <v>0.0166666666666667</v>
      </c>
      <c r="E4" s="14">
        <f>E3+F4</f>
        <v>0.97</v>
      </c>
      <c r="F4">
        <v>0.67</v>
      </c>
      <c r="G4">
        <v>0.51</v>
      </c>
      <c r="H4">
        <v>1.24270627062706</v>
      </c>
      <c r="I4">
        <v>1.24</v>
      </c>
    </row>
    <row r="5" spans="1:9">
      <c r="A5" s="10">
        <v>44061.7305555556</v>
      </c>
      <c r="B5" s="11">
        <v>1</v>
      </c>
      <c r="C5" s="11">
        <f t="shared" si="0"/>
        <v>2</v>
      </c>
      <c r="D5" s="12">
        <f t="shared" si="1"/>
        <v>0.0333333333333333</v>
      </c>
      <c r="E5" s="14">
        <f t="shared" ref="E5:E24" si="2">E4+F5</f>
        <v>1.49</v>
      </c>
      <c r="F5">
        <v>0.52</v>
      </c>
      <c r="G5">
        <v>0.4</v>
      </c>
      <c r="H5">
        <v>0.964488448844885</v>
      </c>
      <c r="I5">
        <v>0.96</v>
      </c>
    </row>
    <row r="6" spans="1:9">
      <c r="A6" s="10">
        <v>44061.73125</v>
      </c>
      <c r="B6" s="11">
        <v>1</v>
      </c>
      <c r="C6" s="11">
        <f t="shared" si="0"/>
        <v>3</v>
      </c>
      <c r="D6" s="12">
        <f t="shared" si="1"/>
        <v>0.05</v>
      </c>
      <c r="E6" s="14">
        <f t="shared" si="2"/>
        <v>1.86</v>
      </c>
      <c r="F6">
        <v>0.37</v>
      </c>
      <c r="G6">
        <v>0.28</v>
      </c>
      <c r="H6">
        <v>0.686270627062706</v>
      </c>
      <c r="I6">
        <v>0.69</v>
      </c>
    </row>
    <row r="7" spans="1:9">
      <c r="A7" s="10">
        <v>44061.7319444444</v>
      </c>
      <c r="B7" s="11">
        <v>1</v>
      </c>
      <c r="C7" s="11">
        <f t="shared" si="0"/>
        <v>4</v>
      </c>
      <c r="D7" s="12">
        <f t="shared" si="1"/>
        <v>0.0666666666666667</v>
      </c>
      <c r="E7" s="14">
        <f t="shared" si="2"/>
        <v>2.09</v>
      </c>
      <c r="F7">
        <v>0.23</v>
      </c>
      <c r="G7">
        <v>0.22</v>
      </c>
      <c r="H7">
        <v>0.426600660066007</v>
      </c>
      <c r="I7">
        <v>0.43</v>
      </c>
    </row>
    <row r="8" spans="1:9">
      <c r="A8" s="10">
        <v>44061.7333333333</v>
      </c>
      <c r="B8" s="11">
        <v>2</v>
      </c>
      <c r="C8" s="11">
        <f t="shared" si="0"/>
        <v>6</v>
      </c>
      <c r="D8" s="12">
        <f t="shared" si="1"/>
        <v>0.1</v>
      </c>
      <c r="E8" s="14">
        <f t="shared" si="2"/>
        <v>2.36</v>
      </c>
      <c r="F8">
        <v>0.27</v>
      </c>
      <c r="G8">
        <v>0.18</v>
      </c>
      <c r="H8">
        <v>0.500792079207921</v>
      </c>
      <c r="I8">
        <v>0.5</v>
      </c>
    </row>
    <row r="9" spans="1:9">
      <c r="A9" s="10">
        <v>44061.7347222222</v>
      </c>
      <c r="B9" s="11">
        <v>2</v>
      </c>
      <c r="C9" s="11">
        <f t="shared" si="0"/>
        <v>8</v>
      </c>
      <c r="D9" s="12">
        <f t="shared" si="1"/>
        <v>0.133333333333333</v>
      </c>
      <c r="E9" s="14">
        <f t="shared" si="2"/>
        <v>2.55</v>
      </c>
      <c r="F9">
        <v>0.19</v>
      </c>
      <c r="G9">
        <v>0.15</v>
      </c>
      <c r="H9">
        <v>0.352409240924092</v>
      </c>
      <c r="I9">
        <v>0.35</v>
      </c>
    </row>
    <row r="10" spans="1:9">
      <c r="A10" s="10">
        <v>44061.7361111111</v>
      </c>
      <c r="B10" s="11">
        <v>2</v>
      </c>
      <c r="C10" s="11">
        <f t="shared" si="0"/>
        <v>10</v>
      </c>
      <c r="D10" s="12">
        <f t="shared" si="1"/>
        <v>0.166666666666667</v>
      </c>
      <c r="E10" s="14">
        <f t="shared" si="2"/>
        <v>2.68</v>
      </c>
      <c r="F10">
        <v>0.13</v>
      </c>
      <c r="G10">
        <v>0.1</v>
      </c>
      <c r="H10">
        <v>0.241122112211221</v>
      </c>
      <c r="I10">
        <v>0.24</v>
      </c>
    </row>
    <row r="11" spans="1:9">
      <c r="A11" s="10">
        <v>44061.7395833333</v>
      </c>
      <c r="B11" s="11">
        <v>5</v>
      </c>
      <c r="C11" s="11">
        <f t="shared" ref="C11:C32" si="3">B11+C10</f>
        <v>15</v>
      </c>
      <c r="D11" s="12">
        <f t="shared" si="1"/>
        <v>0.25</v>
      </c>
      <c r="E11" s="14">
        <f t="shared" si="2"/>
        <v>2.85</v>
      </c>
      <c r="F11">
        <v>0.17</v>
      </c>
      <c r="G11">
        <v>0.13</v>
      </c>
      <c r="H11">
        <v>0.315313531353135</v>
      </c>
      <c r="I11">
        <v>0.32</v>
      </c>
    </row>
    <row r="12" spans="1:9">
      <c r="A12" s="10">
        <v>44061.7430555556</v>
      </c>
      <c r="B12" s="11">
        <v>5</v>
      </c>
      <c r="C12" s="11">
        <f t="shared" si="3"/>
        <v>20</v>
      </c>
      <c r="D12" s="12">
        <f t="shared" ref="D12:D32" si="4">C12/60</f>
        <v>0.333333333333333</v>
      </c>
      <c r="E12" s="14">
        <f t="shared" si="2"/>
        <v>2.97</v>
      </c>
      <c r="F12">
        <v>0.12</v>
      </c>
      <c r="G12">
        <v>0.09</v>
      </c>
      <c r="H12">
        <v>0.222574257425743</v>
      </c>
      <c r="I12">
        <v>0.22</v>
      </c>
    </row>
    <row r="13" spans="1:9">
      <c r="A13" s="10">
        <v>44061.7465277778</v>
      </c>
      <c r="B13" s="11">
        <v>5</v>
      </c>
      <c r="C13" s="11">
        <f t="shared" si="3"/>
        <v>25</v>
      </c>
      <c r="D13" s="12">
        <f t="shared" si="4"/>
        <v>0.416666666666667</v>
      </c>
      <c r="E13" s="14">
        <f t="shared" si="2"/>
        <v>3.04</v>
      </c>
      <c r="F13">
        <v>0.07</v>
      </c>
      <c r="G13">
        <v>0.05</v>
      </c>
      <c r="H13">
        <v>0.12983498349835</v>
      </c>
      <c r="I13">
        <v>0.13</v>
      </c>
    </row>
    <row r="14" spans="1:9">
      <c r="A14" s="10">
        <v>44061.75</v>
      </c>
      <c r="B14" s="11">
        <v>5</v>
      </c>
      <c r="C14" s="11">
        <f t="shared" si="3"/>
        <v>30</v>
      </c>
      <c r="D14" s="12">
        <f t="shared" si="4"/>
        <v>0.5</v>
      </c>
      <c r="E14" s="14">
        <f t="shared" si="2"/>
        <v>3.08</v>
      </c>
      <c r="F14">
        <v>0.04</v>
      </c>
      <c r="G14">
        <v>0.03</v>
      </c>
      <c r="H14">
        <v>0.0741914191419142</v>
      </c>
      <c r="I14">
        <v>0.07</v>
      </c>
    </row>
    <row r="15" spans="1:9">
      <c r="A15" s="10">
        <v>44061.7569444444</v>
      </c>
      <c r="B15" s="11">
        <v>10</v>
      </c>
      <c r="C15" s="11">
        <f t="shared" si="3"/>
        <v>40</v>
      </c>
      <c r="D15" s="12">
        <f t="shared" si="4"/>
        <v>0.666666666666667</v>
      </c>
      <c r="E15" s="14">
        <f t="shared" si="2"/>
        <v>3.13</v>
      </c>
      <c r="F15">
        <v>0.05</v>
      </c>
      <c r="G15">
        <v>0.04</v>
      </c>
      <c r="H15">
        <v>0.0927392739273928</v>
      </c>
      <c r="I15">
        <v>0.09</v>
      </c>
    </row>
    <row r="16" spans="1:9">
      <c r="A16" s="10">
        <v>44061.7638888889</v>
      </c>
      <c r="B16" s="11">
        <v>10</v>
      </c>
      <c r="C16" s="11">
        <f t="shared" si="3"/>
        <v>50</v>
      </c>
      <c r="D16" s="12">
        <f t="shared" si="4"/>
        <v>0.833333333333333</v>
      </c>
      <c r="E16" s="14">
        <f t="shared" si="2"/>
        <v>3.16</v>
      </c>
      <c r="F16">
        <v>0.03</v>
      </c>
      <c r="G16">
        <v>0.02</v>
      </c>
      <c r="H16">
        <v>0.0556435643564357</v>
      </c>
      <c r="I16">
        <v>0.06</v>
      </c>
    </row>
    <row r="17" spans="1:9">
      <c r="A17" s="10">
        <v>44061.7708333333</v>
      </c>
      <c r="B17" s="11">
        <v>10</v>
      </c>
      <c r="C17" s="11">
        <f t="shared" si="3"/>
        <v>60</v>
      </c>
      <c r="D17" s="12">
        <f t="shared" si="4"/>
        <v>1</v>
      </c>
      <c r="E17" s="14">
        <f t="shared" si="2"/>
        <v>3.18</v>
      </c>
      <c r="F17">
        <v>0.02</v>
      </c>
      <c r="G17">
        <v>0.03</v>
      </c>
      <c r="H17">
        <v>0.0370957095709571</v>
      </c>
      <c r="I17">
        <v>0.04</v>
      </c>
    </row>
    <row r="18" spans="1:9">
      <c r="A18" s="10">
        <v>44061.7847222222</v>
      </c>
      <c r="B18" s="11">
        <v>20</v>
      </c>
      <c r="C18" s="11">
        <f t="shared" si="3"/>
        <v>80</v>
      </c>
      <c r="D18" s="12">
        <f t="shared" si="4"/>
        <v>1.33333333333333</v>
      </c>
      <c r="E18" s="14">
        <f t="shared" si="2"/>
        <v>3.2</v>
      </c>
      <c r="F18">
        <v>0.02</v>
      </c>
      <c r="G18">
        <v>0.02</v>
      </c>
      <c r="H18">
        <v>0.0370957095709571</v>
      </c>
      <c r="I18">
        <v>0.04</v>
      </c>
    </row>
    <row r="19" spans="1:9">
      <c r="A19" s="10">
        <v>44061.7986111111</v>
      </c>
      <c r="B19" s="11">
        <v>20</v>
      </c>
      <c r="C19" s="11">
        <f t="shared" si="3"/>
        <v>100</v>
      </c>
      <c r="D19" s="12">
        <f t="shared" si="4"/>
        <v>1.66666666666667</v>
      </c>
      <c r="E19" s="14">
        <f t="shared" si="2"/>
        <v>3.22</v>
      </c>
      <c r="F19">
        <v>0.02</v>
      </c>
      <c r="G19">
        <v>0.02</v>
      </c>
      <c r="H19">
        <v>0.0370957095709571</v>
      </c>
      <c r="I19">
        <v>0.04</v>
      </c>
    </row>
    <row r="20" spans="1:9">
      <c r="A20" s="10">
        <v>44061.8125</v>
      </c>
      <c r="B20" s="11">
        <v>20</v>
      </c>
      <c r="C20" s="11">
        <f t="shared" si="3"/>
        <v>120</v>
      </c>
      <c r="D20" s="12">
        <f t="shared" si="4"/>
        <v>2</v>
      </c>
      <c r="E20" s="14">
        <f t="shared" si="2"/>
        <v>3.23</v>
      </c>
      <c r="F20">
        <v>0.01</v>
      </c>
      <c r="G20">
        <v>0.01</v>
      </c>
      <c r="H20">
        <v>0.0185478547854785</v>
      </c>
      <c r="I20">
        <v>0.02</v>
      </c>
    </row>
    <row r="21" spans="1:9">
      <c r="A21" s="10">
        <v>44061.8333333333</v>
      </c>
      <c r="B21" s="11">
        <v>30</v>
      </c>
      <c r="C21" s="11">
        <f t="shared" si="3"/>
        <v>150</v>
      </c>
      <c r="D21" s="12">
        <f t="shared" si="4"/>
        <v>2.5</v>
      </c>
      <c r="E21" s="14">
        <f t="shared" si="2"/>
        <v>3.25</v>
      </c>
      <c r="F21">
        <v>0.02</v>
      </c>
      <c r="G21">
        <v>0.02</v>
      </c>
      <c r="H21">
        <v>0.0370957095709571</v>
      </c>
      <c r="I21">
        <v>0.04</v>
      </c>
    </row>
    <row r="22" spans="1:9">
      <c r="A22" s="10">
        <v>44061.8541666667</v>
      </c>
      <c r="B22" s="11">
        <v>30</v>
      </c>
      <c r="C22" s="11">
        <f t="shared" si="3"/>
        <v>180</v>
      </c>
      <c r="D22" s="12">
        <f t="shared" si="4"/>
        <v>3</v>
      </c>
      <c r="E22" s="14">
        <f t="shared" si="2"/>
        <v>3.26</v>
      </c>
      <c r="F22">
        <v>0.01</v>
      </c>
      <c r="G22">
        <v>0.01</v>
      </c>
      <c r="H22">
        <v>0.0185478547854785</v>
      </c>
      <c r="I22">
        <v>0.02</v>
      </c>
    </row>
    <row r="23" spans="1:9">
      <c r="A23" s="10">
        <v>44061.875</v>
      </c>
      <c r="B23" s="11">
        <v>30</v>
      </c>
      <c r="C23" s="11">
        <f t="shared" si="3"/>
        <v>210</v>
      </c>
      <c r="D23" s="12">
        <f t="shared" si="4"/>
        <v>3.5</v>
      </c>
      <c r="E23" s="14">
        <f t="shared" si="2"/>
        <v>3.27</v>
      </c>
      <c r="F23">
        <v>0.01</v>
      </c>
      <c r="G23">
        <v>0.01</v>
      </c>
      <c r="H23">
        <v>0.0185478547854785</v>
      </c>
      <c r="I23">
        <v>0.02</v>
      </c>
    </row>
    <row r="24" spans="1:9">
      <c r="A24" s="10">
        <v>44061.8958333333</v>
      </c>
      <c r="B24" s="11">
        <v>30</v>
      </c>
      <c r="C24" s="11">
        <f t="shared" si="3"/>
        <v>240</v>
      </c>
      <c r="D24" s="12">
        <f t="shared" si="4"/>
        <v>4</v>
      </c>
      <c r="E24" s="14">
        <f t="shared" si="2"/>
        <v>3.27</v>
      </c>
      <c r="F24">
        <v>0</v>
      </c>
      <c r="H24">
        <v>0</v>
      </c>
      <c r="I24">
        <f t="shared" ref="I5:I47" si="5">ROUND(H24,2)</f>
        <v>0</v>
      </c>
    </row>
    <row r="25" spans="1:9">
      <c r="A25" s="10">
        <v>44061.9166666667</v>
      </c>
      <c r="B25" s="11">
        <v>30</v>
      </c>
      <c r="C25" s="11">
        <f t="shared" si="3"/>
        <v>270</v>
      </c>
      <c r="D25" s="12">
        <f t="shared" si="4"/>
        <v>4.5</v>
      </c>
      <c r="E25" s="14">
        <f t="shared" ref="E25:E34" si="6">E24+F25</f>
        <v>3.28</v>
      </c>
      <c r="F25">
        <v>0.01</v>
      </c>
      <c r="H25">
        <v>0.0185478547854785</v>
      </c>
      <c r="I25">
        <f t="shared" si="5"/>
        <v>0.02</v>
      </c>
    </row>
    <row r="26" spans="1:9">
      <c r="A26" s="10">
        <v>44061.9375</v>
      </c>
      <c r="B26" s="11">
        <v>30</v>
      </c>
      <c r="C26" s="11">
        <f t="shared" si="3"/>
        <v>300</v>
      </c>
      <c r="D26" s="12">
        <f t="shared" si="4"/>
        <v>5</v>
      </c>
      <c r="E26" s="14">
        <f t="shared" si="6"/>
        <v>3.28</v>
      </c>
      <c r="F26">
        <v>0</v>
      </c>
      <c r="H26">
        <f t="shared" ref="H5:H47" si="7">1.6/2.32*G26</f>
        <v>0</v>
      </c>
      <c r="I26">
        <f t="shared" si="5"/>
        <v>0</v>
      </c>
    </row>
    <row r="27" spans="1:9">
      <c r="A27" s="10">
        <v>44061.9583333333</v>
      </c>
      <c r="B27" s="11">
        <v>30</v>
      </c>
      <c r="C27" s="11">
        <f t="shared" si="3"/>
        <v>330</v>
      </c>
      <c r="D27" s="12">
        <f t="shared" si="4"/>
        <v>5.5</v>
      </c>
      <c r="E27" s="14">
        <f t="shared" si="6"/>
        <v>3.29</v>
      </c>
      <c r="F27">
        <v>0.01</v>
      </c>
      <c r="H27">
        <f t="shared" si="7"/>
        <v>0</v>
      </c>
      <c r="I27">
        <f t="shared" si="5"/>
        <v>0</v>
      </c>
    </row>
    <row r="28" spans="1:9">
      <c r="A28" s="10">
        <v>44061.9791666667</v>
      </c>
      <c r="B28" s="11">
        <v>30</v>
      </c>
      <c r="C28" s="11">
        <f t="shared" si="3"/>
        <v>360</v>
      </c>
      <c r="D28" s="12">
        <f t="shared" si="4"/>
        <v>6</v>
      </c>
      <c r="E28" s="14">
        <f t="shared" si="6"/>
        <v>3.29</v>
      </c>
      <c r="F28">
        <v>0</v>
      </c>
      <c r="H28">
        <f t="shared" si="7"/>
        <v>0</v>
      </c>
      <c r="I28">
        <f t="shared" si="5"/>
        <v>0</v>
      </c>
    </row>
    <row r="29" spans="1:9">
      <c r="A29" s="10">
        <v>44062</v>
      </c>
      <c r="B29" s="11">
        <v>30</v>
      </c>
      <c r="C29" s="11">
        <f t="shared" si="3"/>
        <v>390</v>
      </c>
      <c r="D29" s="12">
        <f t="shared" si="4"/>
        <v>6.5</v>
      </c>
      <c r="E29" s="14">
        <f t="shared" si="6"/>
        <v>3.29</v>
      </c>
      <c r="F29">
        <v>0</v>
      </c>
      <c r="H29">
        <f t="shared" si="7"/>
        <v>0</v>
      </c>
      <c r="I29">
        <f t="shared" si="5"/>
        <v>0</v>
      </c>
    </row>
    <row r="30" spans="1:9">
      <c r="A30" s="10">
        <v>44062.0208333333</v>
      </c>
      <c r="B30" s="11">
        <v>30</v>
      </c>
      <c r="C30" s="11">
        <f t="shared" si="3"/>
        <v>420</v>
      </c>
      <c r="D30" s="12">
        <f t="shared" si="4"/>
        <v>7</v>
      </c>
      <c r="E30" s="14">
        <f t="shared" si="6"/>
        <v>3.3</v>
      </c>
      <c r="F30">
        <v>0.01</v>
      </c>
      <c r="H30">
        <f t="shared" si="7"/>
        <v>0</v>
      </c>
      <c r="I30">
        <f t="shared" si="5"/>
        <v>0</v>
      </c>
    </row>
    <row r="31" spans="1:9">
      <c r="A31" s="10">
        <v>44062.0416666667</v>
      </c>
      <c r="B31" s="11">
        <v>30</v>
      </c>
      <c r="C31" s="11">
        <f t="shared" si="3"/>
        <v>450</v>
      </c>
      <c r="D31" s="12">
        <f t="shared" si="4"/>
        <v>7.5</v>
      </c>
      <c r="E31" s="14">
        <f t="shared" si="6"/>
        <v>3.3</v>
      </c>
      <c r="F31">
        <v>0</v>
      </c>
      <c r="H31">
        <f t="shared" si="7"/>
        <v>0</v>
      </c>
      <c r="I31">
        <f t="shared" si="5"/>
        <v>0</v>
      </c>
    </row>
    <row r="32" spans="1:9">
      <c r="A32" s="10">
        <v>44062.0625</v>
      </c>
      <c r="B32" s="11">
        <v>30</v>
      </c>
      <c r="C32" s="11">
        <f t="shared" si="3"/>
        <v>480</v>
      </c>
      <c r="D32" s="12">
        <f t="shared" si="4"/>
        <v>8</v>
      </c>
      <c r="E32" s="14">
        <f t="shared" si="6"/>
        <v>3.3</v>
      </c>
      <c r="F32">
        <v>0</v>
      </c>
      <c r="H32">
        <f t="shared" si="7"/>
        <v>0</v>
      </c>
      <c r="I32">
        <f t="shared" si="5"/>
        <v>0</v>
      </c>
    </row>
    <row r="33" spans="1:9">
      <c r="A33" s="10">
        <v>44062.0833333333</v>
      </c>
      <c r="B33" s="11">
        <v>30</v>
      </c>
      <c r="C33" s="11">
        <f t="shared" ref="C33:C47" si="8">B33+C32</f>
        <v>510</v>
      </c>
      <c r="D33" s="12">
        <f t="shared" ref="D33:D47" si="9">C33/60</f>
        <v>8.5</v>
      </c>
      <c r="E33" s="14">
        <f t="shared" si="6"/>
        <v>3.31</v>
      </c>
      <c r="F33">
        <v>0.01</v>
      </c>
      <c r="H33">
        <f t="shared" si="7"/>
        <v>0</v>
      </c>
      <c r="I33">
        <f t="shared" si="5"/>
        <v>0</v>
      </c>
    </row>
    <row r="34" spans="1:9">
      <c r="A34" s="10">
        <v>44062.1041666667</v>
      </c>
      <c r="B34" s="11">
        <v>30</v>
      </c>
      <c r="C34" s="11">
        <f t="shared" si="8"/>
        <v>540</v>
      </c>
      <c r="D34" s="12">
        <f t="shared" si="9"/>
        <v>9</v>
      </c>
      <c r="E34" s="14">
        <f t="shared" si="6"/>
        <v>3.31</v>
      </c>
      <c r="F34">
        <v>0</v>
      </c>
      <c r="H34">
        <f t="shared" si="7"/>
        <v>0</v>
      </c>
      <c r="I34">
        <f t="shared" si="5"/>
        <v>0</v>
      </c>
    </row>
    <row r="35" spans="1:9">
      <c r="A35" s="10">
        <v>44062.125</v>
      </c>
      <c r="B35" s="11">
        <v>30</v>
      </c>
      <c r="C35" s="11">
        <f t="shared" si="8"/>
        <v>570</v>
      </c>
      <c r="D35" s="12">
        <f t="shared" si="9"/>
        <v>9.5</v>
      </c>
      <c r="E35" s="14">
        <f t="shared" ref="E35:E47" si="10">E34+F35</f>
        <v>3.31</v>
      </c>
      <c r="F35">
        <v>0</v>
      </c>
      <c r="H35">
        <f t="shared" si="7"/>
        <v>0</v>
      </c>
      <c r="I35">
        <f t="shared" si="5"/>
        <v>0</v>
      </c>
    </row>
    <row r="36" spans="1:9">
      <c r="A36" s="10">
        <v>44062.1458333333</v>
      </c>
      <c r="B36" s="11">
        <v>30</v>
      </c>
      <c r="C36" s="11">
        <f t="shared" si="8"/>
        <v>600</v>
      </c>
      <c r="D36" s="12">
        <f t="shared" si="9"/>
        <v>10</v>
      </c>
      <c r="E36" s="14">
        <f t="shared" si="10"/>
        <v>3.32</v>
      </c>
      <c r="F36">
        <v>0.01</v>
      </c>
      <c r="H36">
        <f t="shared" si="7"/>
        <v>0</v>
      </c>
      <c r="I36">
        <f t="shared" si="5"/>
        <v>0</v>
      </c>
    </row>
    <row r="37" spans="1:9">
      <c r="A37" s="10">
        <v>44062.1666666667</v>
      </c>
      <c r="B37" s="11">
        <v>30</v>
      </c>
      <c r="C37" s="11">
        <f t="shared" si="8"/>
        <v>630</v>
      </c>
      <c r="D37" s="12">
        <f t="shared" si="9"/>
        <v>10.5</v>
      </c>
      <c r="E37" s="14">
        <f t="shared" si="10"/>
        <v>3.32</v>
      </c>
      <c r="F37">
        <v>0</v>
      </c>
      <c r="H37">
        <f t="shared" si="7"/>
        <v>0</v>
      </c>
      <c r="I37">
        <f t="shared" si="5"/>
        <v>0</v>
      </c>
    </row>
    <row r="38" spans="1:9">
      <c r="A38" s="10">
        <v>44062.1875</v>
      </c>
      <c r="B38" s="11">
        <v>30</v>
      </c>
      <c r="C38" s="11">
        <f t="shared" si="8"/>
        <v>660</v>
      </c>
      <c r="D38" s="12">
        <f t="shared" si="9"/>
        <v>11</v>
      </c>
      <c r="E38" s="14">
        <f t="shared" si="10"/>
        <v>3.32</v>
      </c>
      <c r="F38">
        <v>0</v>
      </c>
      <c r="H38">
        <f t="shared" si="7"/>
        <v>0</v>
      </c>
      <c r="I38">
        <f t="shared" si="5"/>
        <v>0</v>
      </c>
    </row>
    <row r="39" spans="1:9">
      <c r="A39" s="10">
        <v>44062.2083333333</v>
      </c>
      <c r="B39" s="11">
        <v>30</v>
      </c>
      <c r="C39" s="11">
        <f t="shared" si="8"/>
        <v>690</v>
      </c>
      <c r="D39" s="12">
        <f t="shared" si="9"/>
        <v>11.5</v>
      </c>
      <c r="E39" s="14">
        <f t="shared" si="10"/>
        <v>3.32</v>
      </c>
      <c r="F39">
        <v>0</v>
      </c>
      <c r="H39">
        <f t="shared" si="7"/>
        <v>0</v>
      </c>
      <c r="I39">
        <f t="shared" si="5"/>
        <v>0</v>
      </c>
    </row>
    <row r="40" spans="1:9">
      <c r="A40" s="10">
        <v>44062.2291666667</v>
      </c>
      <c r="B40" s="11">
        <v>30</v>
      </c>
      <c r="C40" s="11">
        <f t="shared" si="8"/>
        <v>720</v>
      </c>
      <c r="D40" s="12">
        <f t="shared" si="9"/>
        <v>12</v>
      </c>
      <c r="E40" s="14">
        <f t="shared" si="10"/>
        <v>3.33</v>
      </c>
      <c r="F40">
        <v>0.01</v>
      </c>
      <c r="H40">
        <f t="shared" si="7"/>
        <v>0</v>
      </c>
      <c r="I40">
        <f t="shared" si="5"/>
        <v>0</v>
      </c>
    </row>
    <row r="41" spans="1:9">
      <c r="A41" s="10">
        <v>44062.25</v>
      </c>
      <c r="B41" s="11">
        <v>30</v>
      </c>
      <c r="C41" s="11">
        <f t="shared" si="8"/>
        <v>750</v>
      </c>
      <c r="D41" s="12">
        <f t="shared" si="9"/>
        <v>12.5</v>
      </c>
      <c r="E41" s="14">
        <f t="shared" si="10"/>
        <v>3.33</v>
      </c>
      <c r="F41">
        <v>0</v>
      </c>
      <c r="H41">
        <f t="shared" si="7"/>
        <v>0</v>
      </c>
      <c r="I41">
        <f t="shared" si="5"/>
        <v>0</v>
      </c>
    </row>
    <row r="42" spans="1:9">
      <c r="A42" s="10">
        <v>44062.2708333333</v>
      </c>
      <c r="B42" s="11">
        <v>30</v>
      </c>
      <c r="C42" s="11">
        <f t="shared" si="8"/>
        <v>780</v>
      </c>
      <c r="D42" s="12">
        <f t="shared" si="9"/>
        <v>13</v>
      </c>
      <c r="E42" s="14">
        <f t="shared" si="10"/>
        <v>3.33</v>
      </c>
      <c r="F42">
        <v>0</v>
      </c>
      <c r="H42">
        <f t="shared" si="7"/>
        <v>0</v>
      </c>
      <c r="I42">
        <f t="shared" si="5"/>
        <v>0</v>
      </c>
    </row>
    <row r="43" spans="1:9">
      <c r="A43" s="10">
        <v>44062.2916666667</v>
      </c>
      <c r="B43" s="11">
        <v>30</v>
      </c>
      <c r="C43" s="11">
        <f t="shared" si="8"/>
        <v>810</v>
      </c>
      <c r="D43" s="12">
        <f t="shared" si="9"/>
        <v>13.5</v>
      </c>
      <c r="E43" s="14">
        <f t="shared" si="10"/>
        <v>3.33</v>
      </c>
      <c r="F43">
        <v>0</v>
      </c>
      <c r="H43">
        <f t="shared" si="7"/>
        <v>0</v>
      </c>
      <c r="I43">
        <f t="shared" si="5"/>
        <v>0</v>
      </c>
    </row>
    <row r="44" spans="1:9">
      <c r="A44" s="10">
        <v>44062.3125</v>
      </c>
      <c r="B44" s="11">
        <v>30</v>
      </c>
      <c r="C44" s="11">
        <f t="shared" si="8"/>
        <v>840</v>
      </c>
      <c r="D44" s="12">
        <f t="shared" si="9"/>
        <v>14</v>
      </c>
      <c r="E44" s="14">
        <f t="shared" si="10"/>
        <v>3.33</v>
      </c>
      <c r="F44">
        <v>0</v>
      </c>
      <c r="H44">
        <f t="shared" si="7"/>
        <v>0</v>
      </c>
      <c r="I44">
        <f t="shared" si="5"/>
        <v>0</v>
      </c>
    </row>
    <row r="45" spans="1:9">
      <c r="A45" s="10">
        <v>44062.3333333333</v>
      </c>
      <c r="B45" s="11">
        <v>30</v>
      </c>
      <c r="C45" s="11">
        <f t="shared" si="8"/>
        <v>870</v>
      </c>
      <c r="D45" s="12">
        <f t="shared" si="9"/>
        <v>14.5</v>
      </c>
      <c r="E45" s="14">
        <f t="shared" si="10"/>
        <v>3.33</v>
      </c>
      <c r="F45">
        <v>0</v>
      </c>
      <c r="H45">
        <f t="shared" si="7"/>
        <v>0</v>
      </c>
      <c r="I45">
        <f t="shared" si="5"/>
        <v>0</v>
      </c>
    </row>
    <row r="46" spans="1:9">
      <c r="A46" s="10">
        <v>44062.3541666667</v>
      </c>
      <c r="B46" s="11">
        <v>30</v>
      </c>
      <c r="C46" s="11">
        <f t="shared" si="8"/>
        <v>900</v>
      </c>
      <c r="D46" s="12">
        <f t="shared" si="9"/>
        <v>15</v>
      </c>
      <c r="E46" s="14">
        <f t="shared" si="10"/>
        <v>3.33</v>
      </c>
      <c r="F46">
        <v>0</v>
      </c>
      <c r="H46">
        <f t="shared" si="7"/>
        <v>0</v>
      </c>
      <c r="I46">
        <f t="shared" si="5"/>
        <v>0</v>
      </c>
    </row>
    <row r="47" spans="1:9">
      <c r="A47" s="10">
        <v>44062.375</v>
      </c>
      <c r="B47" s="11">
        <v>30</v>
      </c>
      <c r="C47" s="11">
        <f t="shared" si="8"/>
        <v>930</v>
      </c>
      <c r="D47" s="12">
        <f t="shared" si="9"/>
        <v>15.5</v>
      </c>
      <c r="E47" s="14">
        <f t="shared" si="10"/>
        <v>3.33</v>
      </c>
      <c r="F47">
        <v>0</v>
      </c>
      <c r="H47">
        <f t="shared" si="7"/>
        <v>0</v>
      </c>
      <c r="I47">
        <f t="shared" si="5"/>
        <v>0</v>
      </c>
    </row>
  </sheetData>
  <mergeCells count="1">
    <mergeCell ref="A1:A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B1" sqref="B1:B21"/>
    </sheetView>
  </sheetViews>
  <sheetFormatPr defaultColWidth="9" defaultRowHeight="14.25" outlineLevelCol="2"/>
  <sheetData>
    <row r="1" spans="1:3">
      <c r="A1">
        <v>0.67</v>
      </c>
      <c r="B1">
        <v>0.737</v>
      </c>
      <c r="C1">
        <v>0.74</v>
      </c>
    </row>
    <row r="2" spans="1:3">
      <c r="A2">
        <v>0.52</v>
      </c>
      <c r="B2">
        <v>0.572</v>
      </c>
      <c r="C2">
        <v>0.57</v>
      </c>
    </row>
    <row r="3" spans="1:3">
      <c r="A3">
        <v>0.37</v>
      </c>
      <c r="B3">
        <v>0.407</v>
      </c>
      <c r="C3">
        <v>0.41</v>
      </c>
    </row>
    <row r="4" spans="1:3">
      <c r="A4">
        <v>0.27</v>
      </c>
      <c r="B4">
        <v>0.297</v>
      </c>
      <c r="C4">
        <v>0.3</v>
      </c>
    </row>
    <row r="5" spans="1:3">
      <c r="A5">
        <v>0.23</v>
      </c>
      <c r="B5">
        <v>0.253</v>
      </c>
      <c r="C5">
        <v>0.25</v>
      </c>
    </row>
    <row r="6" spans="1:3">
      <c r="A6">
        <v>0.19</v>
      </c>
      <c r="B6">
        <v>0.209</v>
      </c>
      <c r="C6">
        <v>0.21</v>
      </c>
    </row>
    <row r="7" spans="1:3">
      <c r="A7">
        <v>0.17</v>
      </c>
      <c r="B7">
        <v>0.187</v>
      </c>
      <c r="C7">
        <v>0.19</v>
      </c>
    </row>
    <row r="8" spans="1:3">
      <c r="A8">
        <v>0.13</v>
      </c>
      <c r="B8">
        <v>0.143</v>
      </c>
      <c r="C8">
        <v>0.14</v>
      </c>
    </row>
    <row r="9" spans="1:3">
      <c r="A9">
        <v>0.12</v>
      </c>
      <c r="B9">
        <v>0.132</v>
      </c>
      <c r="C9">
        <v>0.13</v>
      </c>
    </row>
    <row r="10" spans="1:3">
      <c r="A10">
        <v>0.07</v>
      </c>
      <c r="B10">
        <v>0.077</v>
      </c>
      <c r="C10">
        <v>0.08</v>
      </c>
    </row>
    <row r="11" spans="1:3">
      <c r="A11">
        <v>0.05</v>
      </c>
      <c r="B11">
        <v>0.055</v>
      </c>
      <c r="C11">
        <v>0.06</v>
      </c>
    </row>
    <row r="12" spans="1:3">
      <c r="A12">
        <v>0.04</v>
      </c>
      <c r="B12">
        <v>0.044</v>
      </c>
      <c r="C12">
        <v>0.04</v>
      </c>
    </row>
    <row r="13" spans="1:3">
      <c r="A13">
        <v>0.03</v>
      </c>
      <c r="B13">
        <v>0.033</v>
      </c>
      <c r="C13">
        <v>0.03</v>
      </c>
    </row>
    <row r="14" spans="1:3">
      <c r="A14">
        <v>0.02</v>
      </c>
      <c r="B14">
        <v>0.022</v>
      </c>
      <c r="C14">
        <v>0.02</v>
      </c>
    </row>
    <row r="15" spans="1:3">
      <c r="A15">
        <v>0.02</v>
      </c>
      <c r="B15">
        <v>0.022</v>
      </c>
      <c r="C15">
        <v>0.02</v>
      </c>
    </row>
    <row r="16" spans="1:3">
      <c r="A16">
        <v>0.02</v>
      </c>
      <c r="B16">
        <v>0.022</v>
      </c>
      <c r="C16">
        <v>0.02</v>
      </c>
    </row>
    <row r="17" spans="1:3">
      <c r="A17">
        <v>0.02</v>
      </c>
      <c r="B17">
        <v>0.022</v>
      </c>
      <c r="C17">
        <v>0.02</v>
      </c>
    </row>
    <row r="18" spans="1:3">
      <c r="A18">
        <v>0.01</v>
      </c>
      <c r="B18">
        <v>0.011</v>
      </c>
      <c r="C18">
        <v>0.01</v>
      </c>
    </row>
    <row r="19" spans="1:3">
      <c r="A19">
        <v>0.01</v>
      </c>
      <c r="B19">
        <v>0.011</v>
      </c>
      <c r="C19">
        <v>0.01</v>
      </c>
    </row>
    <row r="20" spans="1:3">
      <c r="A20">
        <v>0.01</v>
      </c>
      <c r="B20">
        <v>0.011</v>
      </c>
      <c r="C20">
        <v>0.01</v>
      </c>
    </row>
    <row r="21" spans="1:3">
      <c r="A21">
        <v>0</v>
      </c>
      <c r="B21">
        <v>0</v>
      </c>
      <c r="C21">
        <v>0</v>
      </c>
    </row>
  </sheetData>
  <sortState ref="A1:A21">
    <sortCondition ref="A1" descending="1"/>
  </sortState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1"/>
  <sheetViews>
    <sheetView topLeftCell="A91" workbookViewId="0">
      <selection activeCell="B101" sqref="B101:B102"/>
    </sheetView>
  </sheetViews>
  <sheetFormatPr defaultColWidth="9" defaultRowHeight="14.25" outlineLevelCol="1"/>
  <cols>
    <col min="1" max="2" width="31.125" style="1" customWidth="1"/>
  </cols>
  <sheetData>
    <row r="1" spans="1:2">
      <c r="A1" s="2">
        <v>0</v>
      </c>
      <c r="B1" s="3">
        <v>0</v>
      </c>
    </row>
    <row r="2" spans="1:2">
      <c r="A2" s="2">
        <v>0.26</v>
      </c>
      <c r="B2" s="4">
        <v>0.26</v>
      </c>
    </row>
    <row r="3" spans="1:2">
      <c r="A3" s="2">
        <v>0.16</v>
      </c>
      <c r="B3" s="4">
        <v>0.42</v>
      </c>
    </row>
    <row r="4" spans="1:2">
      <c r="A4" s="2">
        <v>0.13</v>
      </c>
      <c r="B4" s="4">
        <v>0.55</v>
      </c>
    </row>
    <row r="5" spans="1:2">
      <c r="A5" s="2">
        <v>0.08</v>
      </c>
      <c r="B5" s="4">
        <v>0.63</v>
      </c>
    </row>
    <row r="6" spans="1:2">
      <c r="A6" s="2">
        <v>0.1</v>
      </c>
      <c r="B6" s="4">
        <v>0.73</v>
      </c>
    </row>
    <row r="7" spans="1:2">
      <c r="A7" s="2">
        <v>0.09</v>
      </c>
      <c r="B7" s="4">
        <v>0.82</v>
      </c>
    </row>
    <row r="8" spans="1:2">
      <c r="A8" s="2">
        <v>0.08</v>
      </c>
      <c r="B8" s="4">
        <v>0.9</v>
      </c>
    </row>
    <row r="9" spans="1:2">
      <c r="A9" s="2">
        <v>0.07</v>
      </c>
      <c r="B9" s="4">
        <v>0.97</v>
      </c>
    </row>
    <row r="10" spans="1:2">
      <c r="A10" s="2">
        <v>0.04</v>
      </c>
      <c r="B10" s="4">
        <v>1.01</v>
      </c>
    </row>
    <row r="11" spans="1:2">
      <c r="A11" s="2">
        <v>0.03</v>
      </c>
      <c r="B11" s="4">
        <v>1.04</v>
      </c>
    </row>
    <row r="12" spans="1:2">
      <c r="A12" s="2">
        <v>0.01</v>
      </c>
      <c r="B12" s="4">
        <v>1.05</v>
      </c>
    </row>
    <row r="13" spans="1:2">
      <c r="A13" s="2">
        <v>0.01</v>
      </c>
      <c r="B13" s="4">
        <v>1.06</v>
      </c>
    </row>
    <row r="14" spans="1:2">
      <c r="A14" s="2">
        <v>0.01</v>
      </c>
      <c r="B14" s="4">
        <v>1.07</v>
      </c>
    </row>
    <row r="15" spans="1:2">
      <c r="A15" s="2">
        <v>0</v>
      </c>
      <c r="B15" s="4">
        <v>1.07</v>
      </c>
    </row>
    <row r="16" spans="1:2">
      <c r="A16" s="2">
        <v>0.01</v>
      </c>
      <c r="B16" s="4">
        <v>1.08</v>
      </c>
    </row>
    <row r="17" spans="1:2">
      <c r="A17" s="2">
        <v>0</v>
      </c>
      <c r="B17" s="4">
        <v>1.08</v>
      </c>
    </row>
    <row r="18" spans="1:2">
      <c r="A18" s="2">
        <v>0</v>
      </c>
      <c r="B18" s="4">
        <v>1.08</v>
      </c>
    </row>
    <row r="19" spans="1:2">
      <c r="A19" s="2">
        <v>0.01</v>
      </c>
      <c r="B19" s="4">
        <v>1.09</v>
      </c>
    </row>
    <row r="20" spans="1:2">
      <c r="A20" s="2">
        <v>0.01</v>
      </c>
      <c r="B20" s="4">
        <v>1.1</v>
      </c>
    </row>
    <row r="21" spans="1:2">
      <c r="A21" s="2">
        <v>0</v>
      </c>
      <c r="B21" s="4">
        <v>1.1</v>
      </c>
    </row>
    <row r="22" spans="1:2">
      <c r="A22" s="2">
        <v>0</v>
      </c>
      <c r="B22" s="4">
        <v>1.1</v>
      </c>
    </row>
    <row r="23" spans="1:2">
      <c r="A23" s="2">
        <v>0</v>
      </c>
      <c r="B23" s="4">
        <v>1.1</v>
      </c>
    </row>
    <row r="24" spans="1:2">
      <c r="A24" s="2">
        <v>0</v>
      </c>
      <c r="B24" s="4">
        <v>1.1</v>
      </c>
    </row>
    <row r="25" spans="1:2">
      <c r="A25" s="2">
        <v>0</v>
      </c>
      <c r="B25" s="4">
        <v>1.1</v>
      </c>
    </row>
    <row r="26" spans="1:2">
      <c r="A26" s="2">
        <v>0</v>
      </c>
      <c r="B26" s="4">
        <v>1.1</v>
      </c>
    </row>
    <row r="27" spans="1:2">
      <c r="A27" s="2">
        <v>0</v>
      </c>
      <c r="B27" s="4">
        <v>1.1</v>
      </c>
    </row>
    <row r="28" spans="1:2">
      <c r="A28" s="2">
        <v>0</v>
      </c>
      <c r="B28" s="4">
        <v>1.1</v>
      </c>
    </row>
    <row r="29" spans="1:2">
      <c r="A29" s="2">
        <v>0</v>
      </c>
      <c r="B29" s="4">
        <v>1.1</v>
      </c>
    </row>
    <row r="30" spans="1:2">
      <c r="A30" s="2">
        <v>0</v>
      </c>
      <c r="B30" s="4">
        <v>1.1</v>
      </c>
    </row>
    <row r="31" spans="1:2">
      <c r="A31" s="2">
        <v>0</v>
      </c>
      <c r="B31" s="4">
        <v>1.1</v>
      </c>
    </row>
    <row r="32" spans="1:2">
      <c r="A32" s="5">
        <v>0</v>
      </c>
      <c r="B32" s="6">
        <v>1.1</v>
      </c>
    </row>
    <row r="33" spans="1:2">
      <c r="A33" s="2">
        <v>0.26</v>
      </c>
      <c r="B33" s="4">
        <v>1.36</v>
      </c>
    </row>
    <row r="34" spans="1:2">
      <c r="A34" s="2">
        <v>0.2</v>
      </c>
      <c r="B34" s="4">
        <v>1.56</v>
      </c>
    </row>
    <row r="35" spans="1:2">
      <c r="A35" s="2">
        <v>0.14</v>
      </c>
      <c r="B35" s="4">
        <v>1.7</v>
      </c>
    </row>
    <row r="36" spans="1:2">
      <c r="A36" s="2">
        <v>0.12</v>
      </c>
      <c r="B36" s="4">
        <v>1.82</v>
      </c>
    </row>
    <row r="37" spans="1:2">
      <c r="A37" s="2">
        <v>0.1</v>
      </c>
      <c r="B37" s="4">
        <v>1.92</v>
      </c>
    </row>
    <row r="38" spans="1:2">
      <c r="A38" s="2">
        <v>0.07</v>
      </c>
      <c r="B38" s="4">
        <v>1.99</v>
      </c>
    </row>
    <row r="39" spans="1:2">
      <c r="A39" s="2">
        <v>0.05</v>
      </c>
      <c r="B39" s="4">
        <v>2.04</v>
      </c>
    </row>
    <row r="40" spans="1:2">
      <c r="A40" s="2">
        <v>0.06</v>
      </c>
      <c r="B40" s="4">
        <v>2.1</v>
      </c>
    </row>
    <row r="41" spans="1:2">
      <c r="A41" s="2">
        <v>0.04</v>
      </c>
      <c r="B41" s="4">
        <v>2.14</v>
      </c>
    </row>
    <row r="42" spans="1:2">
      <c r="A42" s="2">
        <v>0.03</v>
      </c>
      <c r="B42" s="4">
        <v>2.17</v>
      </c>
    </row>
    <row r="43" spans="1:2">
      <c r="A43" s="2">
        <v>0.01</v>
      </c>
      <c r="B43" s="4">
        <v>2.18</v>
      </c>
    </row>
    <row r="44" spans="1:2">
      <c r="A44" s="2">
        <v>0.02</v>
      </c>
      <c r="B44" s="4">
        <v>2.2</v>
      </c>
    </row>
    <row r="45" spans="1:2">
      <c r="A45" s="2">
        <v>0.01</v>
      </c>
      <c r="B45" s="4">
        <v>2.21</v>
      </c>
    </row>
    <row r="46" spans="1:2">
      <c r="A46" s="2">
        <v>0.01</v>
      </c>
      <c r="B46" s="4">
        <v>2.22</v>
      </c>
    </row>
    <row r="47" spans="1:2">
      <c r="A47" s="2">
        <v>0.01</v>
      </c>
      <c r="B47" s="4">
        <v>2.23</v>
      </c>
    </row>
    <row r="48" spans="1:2">
      <c r="A48" s="2">
        <v>0.01</v>
      </c>
      <c r="B48" s="4">
        <v>2.24</v>
      </c>
    </row>
    <row r="49" spans="1:2">
      <c r="A49" s="2">
        <v>0</v>
      </c>
      <c r="B49" s="4">
        <v>2.24</v>
      </c>
    </row>
    <row r="50" spans="1:2">
      <c r="A50" s="2">
        <v>0</v>
      </c>
      <c r="B50" s="4">
        <v>2.24</v>
      </c>
    </row>
    <row r="51" spans="1:2">
      <c r="A51" s="2">
        <v>0</v>
      </c>
      <c r="B51" s="4">
        <v>2.24</v>
      </c>
    </row>
    <row r="52" spans="1:2">
      <c r="A52" s="2">
        <v>0</v>
      </c>
      <c r="B52" s="4">
        <v>2.24</v>
      </c>
    </row>
    <row r="53" spans="1:2">
      <c r="A53" s="2">
        <v>0</v>
      </c>
      <c r="B53" s="4">
        <v>2.24</v>
      </c>
    </row>
    <row r="54" spans="1:2">
      <c r="A54" s="2">
        <v>0</v>
      </c>
      <c r="B54" s="4">
        <v>2.24</v>
      </c>
    </row>
    <row r="55" spans="1:2">
      <c r="A55" s="2">
        <v>0</v>
      </c>
      <c r="B55" s="4">
        <v>2.24</v>
      </c>
    </row>
    <row r="56" spans="1:2">
      <c r="A56" s="2">
        <v>0</v>
      </c>
      <c r="B56" s="4">
        <v>2.24</v>
      </c>
    </row>
    <row r="57" spans="1:2">
      <c r="A57" s="2">
        <v>0</v>
      </c>
      <c r="B57" s="4">
        <v>2.24</v>
      </c>
    </row>
    <row r="58" spans="1:2">
      <c r="A58" s="2">
        <v>0</v>
      </c>
      <c r="B58" s="4">
        <v>2.24</v>
      </c>
    </row>
    <row r="59" spans="1:2">
      <c r="A59" s="2">
        <v>0</v>
      </c>
      <c r="B59" s="4">
        <v>2.24</v>
      </c>
    </row>
    <row r="60" spans="1:2">
      <c r="A60" s="2">
        <v>0</v>
      </c>
      <c r="B60" s="4">
        <v>2.24</v>
      </c>
    </row>
    <row r="61" spans="1:2">
      <c r="A61" s="2">
        <v>0</v>
      </c>
      <c r="B61" s="4">
        <v>2.24</v>
      </c>
    </row>
    <row r="62" spans="1:2">
      <c r="A62" s="2">
        <v>0</v>
      </c>
      <c r="B62" s="4">
        <v>2.24</v>
      </c>
    </row>
    <row r="63" spans="1:2">
      <c r="A63" s="2">
        <v>0</v>
      </c>
      <c r="B63" s="4">
        <v>2.24</v>
      </c>
    </row>
    <row r="64" spans="1:2">
      <c r="A64" s="2">
        <v>0</v>
      </c>
      <c r="B64" s="4">
        <v>2.24</v>
      </c>
    </row>
    <row r="65" spans="1:2">
      <c r="A65" s="5">
        <v>0</v>
      </c>
      <c r="B65" s="6">
        <v>2.24</v>
      </c>
    </row>
    <row r="66" spans="1:2">
      <c r="A66" s="2">
        <v>0.24</v>
      </c>
      <c r="B66" s="4">
        <v>2.48</v>
      </c>
    </row>
    <row r="67" spans="1:2">
      <c r="A67" s="2">
        <v>0.19</v>
      </c>
      <c r="B67" s="4">
        <v>2.67</v>
      </c>
    </row>
    <row r="68" spans="1:2">
      <c r="A68" s="2">
        <v>0.13</v>
      </c>
      <c r="B68" s="4">
        <v>2.8</v>
      </c>
    </row>
    <row r="69" spans="1:2">
      <c r="A69" s="2">
        <v>0.08</v>
      </c>
      <c r="B69" s="4">
        <v>2.88</v>
      </c>
    </row>
    <row r="70" spans="1:2">
      <c r="A70" s="2">
        <v>0.1</v>
      </c>
      <c r="B70" s="4">
        <v>2.98</v>
      </c>
    </row>
    <row r="71" spans="1:2">
      <c r="A71" s="2">
        <v>0.07</v>
      </c>
      <c r="B71" s="4">
        <v>3.05</v>
      </c>
    </row>
    <row r="72" spans="1:2">
      <c r="A72" s="2">
        <v>0.05</v>
      </c>
      <c r="B72" s="4">
        <v>3.1</v>
      </c>
    </row>
    <row r="73" spans="1:2">
      <c r="A73" s="2">
        <v>0.06</v>
      </c>
      <c r="B73" s="4">
        <v>3.16</v>
      </c>
    </row>
    <row r="74" spans="1:2">
      <c r="A74" s="2">
        <v>0.04</v>
      </c>
      <c r="B74" s="4">
        <v>3.2</v>
      </c>
    </row>
    <row r="75" spans="1:2">
      <c r="A75" s="2">
        <v>0.03</v>
      </c>
      <c r="B75" s="4">
        <v>3.23</v>
      </c>
    </row>
    <row r="76" spans="1:2">
      <c r="A76" s="2">
        <v>0.01</v>
      </c>
      <c r="B76" s="4">
        <v>3.24</v>
      </c>
    </row>
    <row r="77" spans="1:2">
      <c r="A77" s="2">
        <v>0.02</v>
      </c>
      <c r="B77" s="4">
        <v>3.26</v>
      </c>
    </row>
    <row r="78" spans="1:2">
      <c r="A78" s="2">
        <v>0.01</v>
      </c>
      <c r="B78" s="4">
        <v>3.27</v>
      </c>
    </row>
    <row r="79" spans="1:2">
      <c r="A79" s="2">
        <v>0.01</v>
      </c>
      <c r="B79" s="4">
        <v>3.28</v>
      </c>
    </row>
    <row r="80" spans="1:2">
      <c r="A80" s="2">
        <v>0.01</v>
      </c>
      <c r="B80" s="4">
        <v>3.29</v>
      </c>
    </row>
    <row r="81" spans="1:2">
      <c r="A81" s="2">
        <v>0.01</v>
      </c>
      <c r="B81" s="4">
        <v>3.3</v>
      </c>
    </row>
    <row r="82" spans="1:2">
      <c r="A82" s="2">
        <v>0</v>
      </c>
      <c r="B82" s="4">
        <v>3.3</v>
      </c>
    </row>
    <row r="83" spans="1:2">
      <c r="A83" s="2">
        <v>0.01</v>
      </c>
      <c r="B83" s="4">
        <v>3.31</v>
      </c>
    </row>
    <row r="84" spans="1:2">
      <c r="A84" s="2">
        <v>0</v>
      </c>
      <c r="B84" s="4">
        <v>3.31</v>
      </c>
    </row>
    <row r="85" spans="1:2">
      <c r="A85" s="2">
        <v>0</v>
      </c>
      <c r="B85" s="4">
        <v>3.31</v>
      </c>
    </row>
    <row r="86" spans="1:2">
      <c r="A86" s="2">
        <v>0</v>
      </c>
      <c r="B86" s="4">
        <v>3.31</v>
      </c>
    </row>
    <row r="87" spans="1:2">
      <c r="A87" s="2">
        <v>0</v>
      </c>
      <c r="B87" s="4">
        <v>3.31</v>
      </c>
    </row>
    <row r="88" spans="1:2">
      <c r="A88" s="2">
        <v>0</v>
      </c>
      <c r="B88" s="4">
        <v>3.31</v>
      </c>
    </row>
    <row r="89" spans="1:2">
      <c r="A89" s="2">
        <v>0</v>
      </c>
      <c r="B89" s="4">
        <v>3.31</v>
      </c>
    </row>
    <row r="90" spans="1:2">
      <c r="A90" s="2">
        <v>0</v>
      </c>
      <c r="B90" s="4">
        <v>3.31</v>
      </c>
    </row>
    <row r="91" spans="1:2">
      <c r="A91" s="2">
        <v>0</v>
      </c>
      <c r="B91" s="4">
        <v>3.31</v>
      </c>
    </row>
    <row r="92" spans="1:2">
      <c r="A92" s="2">
        <v>0</v>
      </c>
      <c r="B92" s="4">
        <v>3.31</v>
      </c>
    </row>
    <row r="93" spans="1:2">
      <c r="A93" s="2">
        <v>0</v>
      </c>
      <c r="B93" s="4">
        <v>3.31</v>
      </c>
    </row>
    <row r="94" spans="1:2">
      <c r="A94" s="2">
        <v>0</v>
      </c>
      <c r="B94" s="4">
        <v>3.31</v>
      </c>
    </row>
    <row r="95" spans="1:2">
      <c r="A95" s="2">
        <v>0</v>
      </c>
      <c r="B95" s="4">
        <v>3.31</v>
      </c>
    </row>
    <row r="96" spans="1:2">
      <c r="A96" s="5">
        <v>0</v>
      </c>
      <c r="B96" s="6">
        <v>3.31</v>
      </c>
    </row>
    <row r="97" spans="1:2">
      <c r="A97" s="2">
        <v>0.74</v>
      </c>
      <c r="B97" s="7">
        <v>2.57</v>
      </c>
    </row>
    <row r="98" spans="1:2">
      <c r="A98" s="2">
        <v>0.57</v>
      </c>
      <c r="B98" s="7">
        <v>2</v>
      </c>
    </row>
    <row r="99" spans="1:2">
      <c r="A99" s="2">
        <v>0.41</v>
      </c>
      <c r="B99" s="7">
        <v>1.59</v>
      </c>
    </row>
    <row r="100" spans="1:2">
      <c r="A100" s="2">
        <v>0.3</v>
      </c>
      <c r="B100" s="7">
        <v>1.29</v>
      </c>
    </row>
    <row r="101" spans="1:2">
      <c r="A101" s="2">
        <v>0.25</v>
      </c>
      <c r="B101" s="7">
        <v>1.04</v>
      </c>
    </row>
    <row r="102" spans="1:2">
      <c r="A102" s="2">
        <v>0.21</v>
      </c>
      <c r="B102" s="7">
        <v>0.830000000000001</v>
      </c>
    </row>
    <row r="103" spans="1:2">
      <c r="A103" s="2">
        <v>0.19</v>
      </c>
      <c r="B103" s="7">
        <v>0.640000000000001</v>
      </c>
    </row>
    <row r="104" spans="1:2">
      <c r="A104" s="2">
        <v>0.14</v>
      </c>
      <c r="B104" s="7">
        <v>0.500000000000001</v>
      </c>
    </row>
    <row r="105" spans="1:2">
      <c r="A105" s="2">
        <v>0.13</v>
      </c>
      <c r="B105" s="7">
        <v>0.370000000000001</v>
      </c>
    </row>
    <row r="106" spans="1:2">
      <c r="A106" s="2">
        <v>0.08</v>
      </c>
      <c r="B106" s="7">
        <v>0.290000000000001</v>
      </c>
    </row>
    <row r="107" spans="1:2">
      <c r="A107" s="2">
        <v>0.06</v>
      </c>
      <c r="B107" s="7">
        <v>0.230000000000001</v>
      </c>
    </row>
    <row r="108" spans="1:2">
      <c r="A108" s="2">
        <v>0.04</v>
      </c>
      <c r="B108" s="7">
        <v>0.190000000000001</v>
      </c>
    </row>
    <row r="109" spans="1:2">
      <c r="A109" s="2">
        <v>0.03</v>
      </c>
      <c r="B109" s="7">
        <v>0.160000000000001</v>
      </c>
    </row>
    <row r="110" spans="1:2">
      <c r="A110" s="2">
        <v>0.02</v>
      </c>
      <c r="B110" s="7">
        <v>0.140000000000001</v>
      </c>
    </row>
    <row r="111" spans="1:2">
      <c r="A111" s="2">
        <v>0.02</v>
      </c>
      <c r="B111" s="7">
        <v>0.120000000000001</v>
      </c>
    </row>
    <row r="112" spans="1:2">
      <c r="A112" s="2">
        <v>0.03</v>
      </c>
      <c r="B112" s="7">
        <v>0.0900000000000005</v>
      </c>
    </row>
    <row r="113" spans="1:2">
      <c r="A113" s="2">
        <v>0.02</v>
      </c>
      <c r="B113" s="7">
        <v>0.0700000000000005</v>
      </c>
    </row>
    <row r="114" spans="1:2">
      <c r="A114" s="2">
        <v>0.01</v>
      </c>
      <c r="B114" s="7">
        <v>0.0600000000000005</v>
      </c>
    </row>
    <row r="115" spans="1:2">
      <c r="A115" s="2">
        <v>0.01</v>
      </c>
      <c r="B115" s="7">
        <v>0.0500000000000005</v>
      </c>
    </row>
    <row r="116" spans="1:2">
      <c r="A116" s="2">
        <v>0.01</v>
      </c>
      <c r="B116" s="7">
        <v>0.0400000000000005</v>
      </c>
    </row>
    <row r="117" spans="1:2">
      <c r="A117" s="2">
        <v>0</v>
      </c>
      <c r="B117" s="7">
        <v>0.0400000000000005</v>
      </c>
    </row>
    <row r="118" spans="1:2">
      <c r="A118" s="2">
        <v>0.01</v>
      </c>
      <c r="B118" s="7">
        <v>0.0300000000000005</v>
      </c>
    </row>
    <row r="119" spans="1:2">
      <c r="A119" s="2">
        <v>0.01</v>
      </c>
      <c r="B119" s="7">
        <v>0.0200000000000005</v>
      </c>
    </row>
    <row r="120" spans="1:2">
      <c r="A120" s="2">
        <v>0.01</v>
      </c>
      <c r="B120" s="7">
        <v>0.0100000000000005</v>
      </c>
    </row>
    <row r="121" spans="1:2">
      <c r="A121" s="2">
        <v>0</v>
      </c>
      <c r="B121" s="7">
        <v>0.0100000000000005</v>
      </c>
    </row>
    <row r="122" spans="1:2">
      <c r="A122" s="2">
        <v>0.01</v>
      </c>
      <c r="B122" s="7">
        <v>5.23886489744996e-16</v>
      </c>
    </row>
    <row r="123" spans="1:2">
      <c r="A123" s="2">
        <v>0</v>
      </c>
      <c r="B123" s="7">
        <v>5.23886489744996e-16</v>
      </c>
    </row>
    <row r="124" spans="1:2">
      <c r="A124" s="2">
        <v>0</v>
      </c>
      <c r="B124" s="7">
        <v>5.23886489744996e-16</v>
      </c>
    </row>
    <row r="125" spans="1:2">
      <c r="A125" s="2">
        <v>0</v>
      </c>
      <c r="B125" s="7">
        <v>5.23886489744996e-16</v>
      </c>
    </row>
    <row r="126" spans="1:2">
      <c r="A126" s="2">
        <v>0</v>
      </c>
      <c r="B126" s="7">
        <v>5.23886489744996e-16</v>
      </c>
    </row>
    <row r="127" spans="1:2">
      <c r="A127" s="2">
        <v>0</v>
      </c>
      <c r="B127" s="7">
        <v>5.23886489744996e-16</v>
      </c>
    </row>
    <row r="128" spans="1:2">
      <c r="A128" s="2">
        <v>0</v>
      </c>
      <c r="B128" s="7">
        <v>5.23886489744996e-16</v>
      </c>
    </row>
    <row r="129" spans="1:2">
      <c r="A129" s="2">
        <v>0</v>
      </c>
      <c r="B129" s="7">
        <v>5.23886489744996e-16</v>
      </c>
    </row>
    <row r="130" spans="1:2">
      <c r="A130" s="2">
        <v>0</v>
      </c>
      <c r="B130" s="7">
        <v>5.23886489744996e-16</v>
      </c>
    </row>
    <row r="131" spans="1:2">
      <c r="A131" s="2">
        <v>0</v>
      </c>
      <c r="B131" s="7">
        <v>5.23886489744996e-16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S-t</vt:lpstr>
      <vt:lpstr>静水位观测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1996-12-17T01:32:00Z</dcterms:created>
  <cp:lastPrinted>2016-08-16T12:25:00Z</cp:lastPrinted>
  <dcterms:modified xsi:type="dcterms:W3CDTF">2022-08-26T07:05:42Z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2052-10.1.0.6690</vt:lpwstr>
  </property>
</Properties>
</file>